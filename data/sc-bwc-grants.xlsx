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data01\ohs\OHS_Data\Body-Worn Cameras\BWC  FY-2023\"/>
    </mc:Choice>
  </mc:AlternateContent>
  <bookViews>
    <workbookView xWindow="120" yWindow="420" windowWidth="21103" windowHeight="8743"/>
  </bookViews>
  <sheets>
    <sheet name="Body-Worn Camera" sheetId="3" r:id="rId1"/>
  </sheets>
  <definedNames>
    <definedName name="_xlnm._FilterDatabase" localSheetId="0" hidden="1">'Body-Worn Camera'!#REF!</definedName>
    <definedName name="_xlnm.Print_Titles" localSheetId="0">'Body-Worn Camera'!$18:$18</definedName>
  </definedNames>
  <calcPr calcId="162913"/>
</workbook>
</file>

<file path=xl/calcChain.xml><?xml version="1.0" encoding="utf-8"?>
<calcChain xmlns="http://schemas.openxmlformats.org/spreadsheetml/2006/main">
  <c r="C14" i="3" l="1"/>
  <c r="S288" i="3" l="1"/>
  <c r="R288" i="3"/>
  <c r="Q288" i="3" l="1"/>
  <c r="P288" i="3"/>
  <c r="O288" i="3"/>
  <c r="N288" i="3"/>
  <c r="M288" i="3"/>
  <c r="L288" i="3"/>
  <c r="J288" i="3"/>
  <c r="I288" i="3"/>
  <c r="G288" i="3"/>
  <c r="F288" i="3"/>
  <c r="D288" i="3"/>
  <c r="C288" i="3"/>
</calcChain>
</file>

<file path=xl/sharedStrings.xml><?xml version="1.0" encoding="utf-8"?>
<sst xmlns="http://schemas.openxmlformats.org/spreadsheetml/2006/main" count="305" uniqueCount="304">
  <si>
    <t xml:space="preserve">Fifth Circuit Solicitor's Office </t>
  </si>
  <si>
    <t>Ninth Circuit Solicitor's Office</t>
  </si>
  <si>
    <t>Sixteenth Circuit Solicitor's Office</t>
  </si>
  <si>
    <t>Totals</t>
  </si>
  <si>
    <t>Aiken County Sheriffs Office</t>
  </si>
  <si>
    <t xml:space="preserve">Allendale County Sheriff's Office </t>
  </si>
  <si>
    <t xml:space="preserve">Allendale Police Department </t>
  </si>
  <si>
    <t>Anderson Police Department</t>
  </si>
  <si>
    <t>Aynor Police Department</t>
  </si>
  <si>
    <t>Bamberg Police Department</t>
  </si>
  <si>
    <t xml:space="preserve">Barnwell Police Department </t>
  </si>
  <si>
    <t xml:space="preserve">Batesburg-Leesville Police Department </t>
  </si>
  <si>
    <t xml:space="preserve">Beaufort County Sheriffs Office </t>
  </si>
  <si>
    <t>Beaufort Police Department</t>
  </si>
  <si>
    <t xml:space="preserve">Belton Police Department </t>
  </si>
  <si>
    <t xml:space="preserve">Bennettsville Police Department </t>
  </si>
  <si>
    <t xml:space="preserve">Bethune Police Department </t>
  </si>
  <si>
    <t xml:space="preserve">Bluffton Police Department </t>
  </si>
  <si>
    <t xml:space="preserve">Calhoun County Sheriff's Office </t>
  </si>
  <si>
    <t xml:space="preserve">Chapin Police Department </t>
  </si>
  <si>
    <t xml:space="preserve">Central Police Department </t>
  </si>
  <si>
    <t xml:space="preserve">Camden Police Department </t>
  </si>
  <si>
    <t xml:space="preserve">Charleston County Sheriff's Office </t>
  </si>
  <si>
    <t xml:space="preserve">Charleston Police Department </t>
  </si>
  <si>
    <t xml:space="preserve">Cheraw Police Department </t>
  </si>
  <si>
    <t xml:space="preserve">Chesnee Police Department </t>
  </si>
  <si>
    <t xml:space="preserve">Chester Police Department </t>
  </si>
  <si>
    <t xml:space="preserve">Chesterfield County Sheriff's Office </t>
  </si>
  <si>
    <t xml:space="preserve">Chesterfield Police Department </t>
  </si>
  <si>
    <t xml:space="preserve">Clemson Police Department </t>
  </si>
  <si>
    <t xml:space="preserve">Citadel Public Safety </t>
  </si>
  <si>
    <t xml:space="preserve">Coastal Carolina University </t>
  </si>
  <si>
    <t>Colleton County Sheriff's Office</t>
  </si>
  <si>
    <t xml:space="preserve">Columbia Police Department </t>
  </si>
  <si>
    <t xml:space="preserve">Conway Police Department </t>
  </si>
  <si>
    <t xml:space="preserve">Coward Police Department </t>
  </si>
  <si>
    <t>Cowpens Police Department</t>
  </si>
  <si>
    <t xml:space="preserve">Dillon Police Department </t>
  </si>
  <si>
    <t xml:space="preserve">Dorchester County Sheriff's Office </t>
  </si>
  <si>
    <t xml:space="preserve">Due West Police Department </t>
  </si>
  <si>
    <t>Easley Police Department</t>
  </si>
  <si>
    <t xml:space="preserve">Edisto Beach Police Department </t>
  </si>
  <si>
    <t xml:space="preserve">Ehrhardt Police Department </t>
  </si>
  <si>
    <t xml:space="preserve">Elgin Police Department </t>
  </si>
  <si>
    <t xml:space="preserve">Florence Regional Airport PS </t>
  </si>
  <si>
    <t>Folly Beach DPS</t>
  </si>
  <si>
    <t xml:space="preserve">Forest Acres Police Department </t>
  </si>
  <si>
    <t>Fountain Inn Police Department</t>
  </si>
  <si>
    <t xml:space="preserve">Gaffney Police Department </t>
  </si>
  <si>
    <t xml:space="preserve">Gaston Police Department </t>
  </si>
  <si>
    <t>Georgetown County Sheriff's Office</t>
  </si>
  <si>
    <t xml:space="preserve">Georgetown Police Department </t>
  </si>
  <si>
    <t xml:space="preserve">Goose Creek Police Department </t>
  </si>
  <si>
    <t xml:space="preserve">Greeleyville Police Department </t>
  </si>
  <si>
    <t>Greenville County Sheriff's Office</t>
  </si>
  <si>
    <t>Greenville Police Department</t>
  </si>
  <si>
    <t>Greenwood County Sheriff's Office</t>
  </si>
  <si>
    <t xml:space="preserve">Greenwood Police Department </t>
  </si>
  <si>
    <t xml:space="preserve">Greer Police Department </t>
  </si>
  <si>
    <t>Hampton County Sheriff's Office</t>
  </si>
  <si>
    <t xml:space="preserve">Hampton Police Department </t>
  </si>
  <si>
    <t>Hanahan Police Department</t>
  </si>
  <si>
    <t xml:space="preserve">Hardeeville Police Department </t>
  </si>
  <si>
    <t xml:space="preserve">Hartsville Police Department </t>
  </si>
  <si>
    <t xml:space="preserve">Holly Hill Police Department </t>
  </si>
  <si>
    <t xml:space="preserve">Honea Path Police Department </t>
  </si>
  <si>
    <t>Horry County Police Department</t>
  </si>
  <si>
    <t>Horry County Sheriff's Office</t>
  </si>
  <si>
    <t xml:space="preserve">Irmo Police Department </t>
  </si>
  <si>
    <t>Isle of Palms Police Department</t>
  </si>
  <si>
    <t>Jackson Police Department</t>
  </si>
  <si>
    <t xml:space="preserve">Jamestown Police Department </t>
  </si>
  <si>
    <t>Jasper County Sheriff's Office</t>
  </si>
  <si>
    <t xml:space="preserve">Jonesville Police Department </t>
  </si>
  <si>
    <t>Kershaw County Sheriff's Office</t>
  </si>
  <si>
    <t xml:space="preserve">Lake City Police Department </t>
  </si>
  <si>
    <t xml:space="preserve">Lancaster County Sheriff's Office </t>
  </si>
  <si>
    <t>Lancaster Police Department</t>
  </si>
  <si>
    <t>Lander University Police Department</t>
  </si>
  <si>
    <t xml:space="preserve">Laurens County Sheriff's Office </t>
  </si>
  <si>
    <t>Laurens Police Department</t>
  </si>
  <si>
    <t xml:space="preserve">Lee County Sheriff's Office </t>
  </si>
  <si>
    <t xml:space="preserve">Lexington County Sheriff's Department </t>
  </si>
  <si>
    <t>Loris Police Department</t>
  </si>
  <si>
    <t xml:space="preserve">Lexington Police Department </t>
  </si>
  <si>
    <t xml:space="preserve">Lyman Police Department </t>
  </si>
  <si>
    <t xml:space="preserve">Manning Police Department </t>
  </si>
  <si>
    <t xml:space="preserve">Marion County Sheriffs Office </t>
  </si>
  <si>
    <t xml:space="preserve">Marion Police Department </t>
  </si>
  <si>
    <t>Marlboro Co. Sheriff's Office</t>
  </si>
  <si>
    <t>Mauldin Police Department</t>
  </si>
  <si>
    <t xml:space="preserve">McBee Police Department </t>
  </si>
  <si>
    <t>McCormick County Sheriff's Department</t>
  </si>
  <si>
    <t>McCormick Police Department</t>
  </si>
  <si>
    <t xml:space="preserve">Midland Technical College Campus Police </t>
  </si>
  <si>
    <t xml:space="preserve">Mount Pleasant Police Department </t>
  </si>
  <si>
    <t xml:space="preserve">Mullins Police Department </t>
  </si>
  <si>
    <t xml:space="preserve">MUSC Public Safety </t>
  </si>
  <si>
    <t xml:space="preserve">Myrtle Beach Police Department </t>
  </si>
  <si>
    <t xml:space="preserve">Newberry County Sheriff's Office </t>
  </si>
  <si>
    <t xml:space="preserve">Newberry Police Department </t>
  </si>
  <si>
    <t xml:space="preserve">Nichols Police Department </t>
  </si>
  <si>
    <t xml:space="preserve">North Augusta Public Safety </t>
  </si>
  <si>
    <t xml:space="preserve">North Charleston Police Department </t>
  </si>
  <si>
    <t xml:space="preserve">Norway Police Department </t>
  </si>
  <si>
    <t>Oconee County Sheriff's Office</t>
  </si>
  <si>
    <t>Orangeburg Department of Public Safety</t>
  </si>
  <si>
    <t xml:space="preserve">Pacolet Police Department </t>
  </si>
  <si>
    <t xml:space="preserve">Pelion Police Department </t>
  </si>
  <si>
    <t xml:space="preserve">Pamplico Police Department </t>
  </si>
  <si>
    <t xml:space="preserve">Pendleton Police Department </t>
  </si>
  <si>
    <t xml:space="preserve">Pickens County Sheriff's Office </t>
  </si>
  <si>
    <t xml:space="preserve">Pickens Police Department </t>
  </si>
  <si>
    <t xml:space="preserve">Piedmont Technical College Police Department </t>
  </si>
  <si>
    <t>Pine Ridge Police Department</t>
  </si>
  <si>
    <t>Prosperity Police Department</t>
  </si>
  <si>
    <t>Richland County Sheriff's Office</t>
  </si>
  <si>
    <t xml:space="preserve">Ridgeway Police Department </t>
  </si>
  <si>
    <t>Rock Hill Police Department</t>
  </si>
  <si>
    <t xml:space="preserve">SC Department of Health and Environmental Control </t>
  </si>
  <si>
    <t xml:space="preserve">SC Department of Public Safety </t>
  </si>
  <si>
    <t xml:space="preserve">SC Dept. of Mental Health </t>
  </si>
  <si>
    <t xml:space="preserve">SC State Ports Authority Police Department </t>
  </si>
  <si>
    <t>Seneca Police Department</t>
  </si>
  <si>
    <t xml:space="preserve">Simpsonville Police Department </t>
  </si>
  <si>
    <t>Spartanburg County Sheriff's Office</t>
  </si>
  <si>
    <t xml:space="preserve">Spartanburg Methodist College Campus Safety </t>
  </si>
  <si>
    <t xml:space="preserve">Spartanburg Police Department </t>
  </si>
  <si>
    <t>Springdale Police Department</t>
  </si>
  <si>
    <t xml:space="preserve">St. George Police Department </t>
  </si>
  <si>
    <t xml:space="preserve">Sullivan's Island Police Department </t>
  </si>
  <si>
    <t xml:space="preserve">Summerton Police Department </t>
  </si>
  <si>
    <t>Summerville Police Department</t>
  </si>
  <si>
    <t>Sumter County Sheriff's Department</t>
  </si>
  <si>
    <t xml:space="preserve">Sumter Police Department </t>
  </si>
  <si>
    <t xml:space="preserve">Tega Cay Police Department </t>
  </si>
  <si>
    <t>Timmonsville Police Department</t>
  </si>
  <si>
    <t xml:space="preserve">Trenton Police Department </t>
  </si>
  <si>
    <t xml:space="preserve">Union County Sheriff's Office </t>
  </si>
  <si>
    <t xml:space="preserve">Union Public Safety Department </t>
  </si>
  <si>
    <t xml:space="preserve">USC - Aiken </t>
  </si>
  <si>
    <t>USC - Beaufort Police Department</t>
  </si>
  <si>
    <t>USC Division of Law Enforcement</t>
  </si>
  <si>
    <t xml:space="preserve">USC Upstate DPS </t>
  </si>
  <si>
    <t xml:space="preserve">Walhalla Police Department </t>
  </si>
  <si>
    <t xml:space="preserve">West Columbia Police Department </t>
  </si>
  <si>
    <t>West Pelzer Police Department</t>
  </si>
  <si>
    <t xml:space="preserve">Westminster Police Department </t>
  </si>
  <si>
    <t xml:space="preserve">Whitmire Police Department </t>
  </si>
  <si>
    <t xml:space="preserve">Williston Police Department </t>
  </si>
  <si>
    <t xml:space="preserve">Williamston Police Department </t>
  </si>
  <si>
    <t>Winnsboro Department of Public Safety</t>
  </si>
  <si>
    <t>Winthrop University Police Department</t>
  </si>
  <si>
    <t xml:space="preserve">Woodruff Police Department </t>
  </si>
  <si>
    <t>York County Sheriff's Office</t>
  </si>
  <si>
    <t xml:space="preserve">West Union Police Department </t>
  </si>
  <si>
    <t>Erskine College Police Department</t>
  </si>
  <si>
    <t xml:space="preserve">Burnettown Police Department </t>
  </si>
  <si>
    <t xml:space="preserve">Florence Police Department </t>
  </si>
  <si>
    <t>Walterboro Police Department</t>
  </si>
  <si>
    <t xml:space="preserve">Johnston Police Department </t>
  </si>
  <si>
    <t xml:space="preserve">Liberty Police Department </t>
  </si>
  <si>
    <t>Abbeville Police Department</t>
  </si>
  <si>
    <t>Allen University Public Safety</t>
  </si>
  <si>
    <t>Benedict College Police Department</t>
  </si>
  <si>
    <t>Bishopville Police Department</t>
  </si>
  <si>
    <t>Blacksburg Police Department</t>
  </si>
  <si>
    <t>Bowman Police Department</t>
  </si>
  <si>
    <t>Briarcliffe Acres Police Department</t>
  </si>
  <si>
    <t>Cameron Police Department</t>
  </si>
  <si>
    <t>Cayce Police Department</t>
  </si>
  <si>
    <t>Cherokee County Sheriff's Office</t>
  </si>
  <si>
    <t>Clarendon County Sheriff's Office</t>
  </si>
  <si>
    <t>Clemson University Police Department</t>
  </si>
  <si>
    <t>Clover Police Department</t>
  </si>
  <si>
    <t>Columbia College Police Department</t>
  </si>
  <si>
    <t>Cottageville Police Department</t>
  </si>
  <si>
    <t>Denmark Police Department</t>
  </si>
  <si>
    <t>Dillon County Sheriff's Office</t>
  </si>
  <si>
    <t>Edgefield County Sheriff's Department</t>
  </si>
  <si>
    <t>Elloree Police Department</t>
  </si>
  <si>
    <t>Fairfax Police Department</t>
  </si>
  <si>
    <t>Fairfield County Sheriff's Office</t>
  </si>
  <si>
    <t>Florence County Sheriff's Office</t>
  </si>
  <si>
    <t>Fort Lawn Police Department</t>
  </si>
  <si>
    <t>Fort Mill Police Department</t>
  </si>
  <si>
    <t>Iva Police Department</t>
  </si>
  <si>
    <t>Johnsonville Police Department</t>
  </si>
  <si>
    <t>Moncks Corner Police Department</t>
  </si>
  <si>
    <t>North Myrtle Beach Dept. Of Public Safety</t>
  </si>
  <si>
    <t>Orangeburg County Sheriff's Office</t>
  </si>
  <si>
    <t>Pawley's Island Police Department</t>
  </si>
  <si>
    <t>Port Royal Police Department</t>
  </si>
  <si>
    <t>Presbyterian College Campus Police</t>
  </si>
  <si>
    <t>Quinby Police Department</t>
  </si>
  <si>
    <t>Ridgeville Police Department</t>
  </si>
  <si>
    <t>S.C. Dept. of Parks, Recreation &amp; Tourism</t>
  </si>
  <si>
    <t>S.C. State University Police Department</t>
  </si>
  <si>
    <t>Saluda County Sheriff's Office</t>
  </si>
  <si>
    <t>Saluda Police Department</t>
  </si>
  <si>
    <t>Santee Police Department</t>
  </si>
  <si>
    <t>South Congaree Police Department</t>
  </si>
  <si>
    <t>St. Matthews Police Department</t>
  </si>
  <si>
    <t>St. Stephens Police Department</t>
  </si>
  <si>
    <t>Surfside Beach Police Department</t>
  </si>
  <si>
    <t>Swansea Police Department</t>
  </si>
  <si>
    <t>Travelers Rest Police Department</t>
  </si>
  <si>
    <t>Tri-County Technical College Campus Police</t>
  </si>
  <si>
    <t>Wagener Police Department</t>
  </si>
  <si>
    <t>Ware Shoals Police Department</t>
  </si>
  <si>
    <t>Wellford Police Department</t>
  </si>
  <si>
    <t>York Police Department</t>
  </si>
  <si>
    <t>Darlington County Sheriff's Office</t>
  </si>
  <si>
    <t>Estill Police Department</t>
  </si>
  <si>
    <t>Latta Police Department</t>
  </si>
  <si>
    <t xml:space="preserve">Salley Police Department </t>
  </si>
  <si>
    <t>Charleston County Public Defender</t>
  </si>
  <si>
    <t>Eleventh Circuit Solicitor's Office</t>
  </si>
  <si>
    <t>Fifteenth Circuit Drug Unit</t>
  </si>
  <si>
    <t>First Circuit Public Defender</t>
  </si>
  <si>
    <t>Fourteenth Circuit Solicitor's Office</t>
  </si>
  <si>
    <t>Second Circuit Solicitor's Office</t>
  </si>
  <si>
    <t>Seventh Circuit Solicitor's Office</t>
  </si>
  <si>
    <t xml:space="preserve">Francis Marion Univ. Police Department </t>
  </si>
  <si>
    <r>
      <t>Barnwell County Sheriff's Office</t>
    </r>
    <r>
      <rPr>
        <sz val="10"/>
        <rFont val="Arial"/>
        <family val="2"/>
      </rPr>
      <t xml:space="preserve"> </t>
    </r>
  </si>
  <si>
    <t>Charleston County Aviation Authority PD</t>
  </si>
  <si>
    <t>Columbia Metropolitan Airport DPS</t>
  </si>
  <si>
    <t>Greenville-Spartanburg International Airport PD</t>
  </si>
  <si>
    <t>State Fiscal Year 2016</t>
  </si>
  <si>
    <t>State Fiscal Year 2017</t>
  </si>
  <si>
    <t>Total Appropriated Funds</t>
  </si>
  <si>
    <t>State Fiscal Year 2018</t>
  </si>
  <si>
    <t>Total Amount     Requested                      FY 2018</t>
  </si>
  <si>
    <t>Total Amount Awarded           FY 2018</t>
  </si>
  <si>
    <t>Total Funds Appropriated by State Fiscal Year</t>
  </si>
  <si>
    <t>FUNDING SUMMARY</t>
  </si>
  <si>
    <t>$30,000          (Declined Award)</t>
  </si>
  <si>
    <t>Total Amount     Requested                      FY 2019</t>
  </si>
  <si>
    <t>Total Amount Awarded           FY 2019</t>
  </si>
  <si>
    <t>Abbeville County Sheriff's Office</t>
  </si>
  <si>
    <t>Andrews Police Department</t>
  </si>
  <si>
    <t>Berkely County Sheriff's Office</t>
  </si>
  <si>
    <t>Greenville Tech College Police Department</t>
  </si>
  <si>
    <t>Inman Police Department</t>
  </si>
  <si>
    <t>Kingstree Police Department</t>
  </si>
  <si>
    <t>Lamar Police Department</t>
  </si>
  <si>
    <t>McColl Police Department</t>
  </si>
  <si>
    <t>Ninety Six Police Department</t>
  </si>
  <si>
    <t>Pageland Police Department</t>
  </si>
  <si>
    <t>Ridgeland Police Department</t>
  </si>
  <si>
    <t>S.C. Dept. of Probation, Parole and Pardon</t>
  </si>
  <si>
    <t>Scranton Police Department</t>
  </si>
  <si>
    <t>Sellers Police Department</t>
  </si>
  <si>
    <t>Second Circuit Public Defender</t>
  </si>
  <si>
    <t>Fourteenth Circuit Public Defender</t>
  </si>
  <si>
    <t>Thirteenth Circuit Solicitor's Office</t>
  </si>
  <si>
    <t>Eighth Circuit Solicitor's Office</t>
  </si>
  <si>
    <t>Fourth Circuit Solicitor's Office</t>
  </si>
  <si>
    <t>Fifteenth Judicial Circuit Solicitor's Office</t>
  </si>
  <si>
    <t>Twelth Circuit Solicitor's Office</t>
  </si>
  <si>
    <t>State Fiscal Year 2019</t>
  </si>
  <si>
    <t>Total Amount     Requested                      FY 2020</t>
  </si>
  <si>
    <t>Total Amount Awarded           FY 2020</t>
  </si>
  <si>
    <t>Atlantic Beach Police Department</t>
  </si>
  <si>
    <t>Clio Police Department</t>
  </si>
  <si>
    <t>Darlington Police Department</t>
  </si>
  <si>
    <t>Hemingway Police Department</t>
  </si>
  <si>
    <t>New Ellenton Police Deparment</t>
  </si>
  <si>
    <t>Olanta Police Department</t>
  </si>
  <si>
    <t>Yemassee Police Department</t>
  </si>
  <si>
    <t>Tenth Circuit Solicitor's Office</t>
  </si>
  <si>
    <t>State Fiscal Year 2020</t>
  </si>
  <si>
    <t>$135,105       (returned funds)</t>
  </si>
  <si>
    <t>Total Amount Awarded           FY 2021</t>
  </si>
  <si>
    <t>Clinton Police Department</t>
  </si>
  <si>
    <t>Total Amount     Requested                      FY 2021</t>
  </si>
  <si>
    <t>Sixteenth Circuit Public Defenders Office</t>
  </si>
  <si>
    <t>Aiken Department of Public Safety</t>
  </si>
  <si>
    <t xml:space="preserve">Anderson County Sheriff's Office </t>
  </si>
  <si>
    <t xml:space="preserve">Chester County Sheriff's Office </t>
  </si>
  <si>
    <t>State Fiscal Year 2021</t>
  </si>
  <si>
    <t>State Fiscal Year 2022</t>
  </si>
  <si>
    <t>Total Amount     Requested                      FY 2022</t>
  </si>
  <si>
    <t>Total Amount Awarded           FY 2022</t>
  </si>
  <si>
    <t>College of Charleston DPS</t>
  </si>
  <si>
    <t>$38,383.00                 (returned funds)</t>
  </si>
  <si>
    <t>Bamberg County Sheriff's Office</t>
  </si>
  <si>
    <t>Denmark Technical College DPS</t>
  </si>
  <si>
    <t>Eutawville Police Department</t>
  </si>
  <si>
    <t>(withdrew application)</t>
  </si>
  <si>
    <t>Agency Returned Funds After Award</t>
  </si>
  <si>
    <t>Total Amount Requested          FY 2016-2017</t>
  </si>
  <si>
    <t>Total Amount Awarded                 FY 2016-2017</t>
  </si>
  <si>
    <t>declined award</t>
  </si>
  <si>
    <t>Total Amount     Requested                      FY 2023</t>
  </si>
  <si>
    <t>Total Amount Awarded           FY 2023</t>
  </si>
  <si>
    <t>Edgefield Police Department</t>
  </si>
  <si>
    <t>SC Department of Corrections</t>
  </si>
  <si>
    <t>Society Hill Police Department</t>
  </si>
  <si>
    <t>Sixth Circuit Public Defender's Office</t>
  </si>
  <si>
    <t>State Fiscal Year 2023</t>
  </si>
  <si>
    <t>State Fiscal Year 2023 - Non Recurring</t>
  </si>
  <si>
    <t>STATE BODY-WORN CAMERA GRANT PROGRAM</t>
  </si>
  <si>
    <t>Prepared by South Carolina Department of Public Safety: Office of Highway Safety &amp; Justice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</si>
</sst>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[$-409]mmmm\ d\,\ 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65">
    <xf numFmtId="0" fontId="0" fillId="0" borderId="0" xfId="0"/>
    <xf numFmtId="0" fontId="4" fillId="0" borderId="1" xfId="0" applyFont="1" applyFill="1" applyBorder="1" applyAlignment="1">
      <alignment horizontal="left" wrapText="1"/>
    </xf>
    <xf numFmtId="44" fontId="4" fillId="0" borderId="1" xfId="1" applyFont="1" applyFill="1" applyBorder="1" applyAlignment="1">
      <alignment horizontal="right"/>
    </xf>
    <xf numFmtId="0" fontId="4" fillId="0" borderId="1" xfId="2" applyFont="1" applyFill="1" applyBorder="1" applyAlignment="1">
      <alignment horizontal="left" wrapText="1"/>
    </xf>
    <xf numFmtId="44" fontId="4" fillId="0" borderId="1" xfId="1" applyFont="1" applyFill="1" applyBorder="1" applyAlignment="1">
      <alignment horizontal="center"/>
    </xf>
    <xf numFmtId="0" fontId="4" fillId="0" borderId="1" xfId="4" applyFont="1" applyFill="1" applyBorder="1" applyAlignment="1">
      <alignment horizontal="left" wrapText="1"/>
    </xf>
    <xf numFmtId="0" fontId="4" fillId="0" borderId="3" xfId="4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left" wrapText="1"/>
    </xf>
    <xf numFmtId="44" fontId="5" fillId="0" borderId="1" xfId="1" applyFont="1" applyFill="1" applyBorder="1"/>
    <xf numFmtId="0" fontId="4" fillId="0" borderId="4" xfId="0" applyFont="1" applyFill="1" applyBorder="1" applyAlignment="1">
      <alignment horizontal="left" wrapText="1"/>
    </xf>
    <xf numFmtId="0" fontId="5" fillId="0" borderId="1" xfId="0" applyFont="1" applyBorder="1"/>
    <xf numFmtId="44" fontId="5" fillId="0" borderId="1" xfId="1" applyFont="1" applyBorder="1"/>
    <xf numFmtId="0" fontId="5" fillId="0" borderId="0" xfId="0" applyFont="1"/>
    <xf numFmtId="0" fontId="5" fillId="0" borderId="0" xfId="0" applyFont="1" applyBorder="1"/>
    <xf numFmtId="0" fontId="5" fillId="0" borderId="1" xfId="0" applyFont="1" applyBorder="1" applyAlignment="1">
      <alignment horizontal="right"/>
    </xf>
    <xf numFmtId="44" fontId="7" fillId="3" borderId="1" xfId="0" applyNumberFormat="1" applyFont="1" applyFill="1" applyBorder="1"/>
    <xf numFmtId="44" fontId="5" fillId="0" borderId="0" xfId="1" applyFont="1" applyBorder="1"/>
    <xf numFmtId="44" fontId="4" fillId="0" borderId="3" xfId="1" applyFont="1" applyFill="1" applyBorder="1" applyAlignment="1">
      <alignment horizontal="center"/>
    </xf>
    <xf numFmtId="44" fontId="4" fillId="0" borderId="4" xfId="1" applyFont="1" applyFill="1" applyBorder="1" applyAlignment="1">
      <alignment horizontal="center"/>
    </xf>
    <xf numFmtId="44" fontId="7" fillId="0" borderId="0" xfId="0" applyNumberFormat="1" applyFont="1" applyFill="1" applyBorder="1"/>
    <xf numFmtId="0" fontId="6" fillId="0" borderId="0" xfId="0" applyFont="1" applyFill="1" applyBorder="1" applyAlignment="1">
      <alignment horizontal="center" wrapText="1"/>
    </xf>
    <xf numFmtId="44" fontId="5" fillId="0" borderId="2" xfId="1" applyFont="1" applyFill="1" applyBorder="1"/>
    <xf numFmtId="0" fontId="7" fillId="2" borderId="1" xfId="0" applyFont="1" applyFill="1" applyBorder="1" applyAlignment="1">
      <alignment horizontal="center"/>
    </xf>
    <xf numFmtId="0" fontId="5" fillId="0" borderId="0" xfId="0" applyFont="1" applyFill="1"/>
    <xf numFmtId="44" fontId="6" fillId="3" borderId="1" xfId="3" applyFont="1" applyFill="1" applyBorder="1" applyAlignment="1">
      <alignment horizontal="center" vertical="center" wrapText="1"/>
    </xf>
    <xf numFmtId="44" fontId="6" fillId="0" borderId="2" xfId="3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44" fontId="4" fillId="0" borderId="1" xfId="1" applyFont="1" applyFill="1" applyBorder="1" applyAlignment="1">
      <alignment horizontal="left"/>
    </xf>
    <xf numFmtId="44" fontId="4" fillId="0" borderId="3" xfId="1" applyFont="1" applyFill="1" applyBorder="1" applyAlignment="1">
      <alignment horizontal="left"/>
    </xf>
    <xf numFmtId="44" fontId="4" fillId="0" borderId="4" xfId="1" applyFont="1" applyFill="1" applyBorder="1" applyAlignment="1">
      <alignment horizontal="left"/>
    </xf>
    <xf numFmtId="44" fontId="5" fillId="0" borderId="1" xfId="1" applyFont="1" applyBorder="1" applyAlignment="1">
      <alignment horizontal="left"/>
    </xf>
    <xf numFmtId="44" fontId="6" fillId="0" borderId="1" xfId="3" applyFont="1" applyFill="1" applyBorder="1" applyAlignment="1">
      <alignment horizontal="center" vertical="center" wrapText="1"/>
    </xf>
    <xf numFmtId="44" fontId="5" fillId="0" borderId="2" xfId="1" applyFont="1" applyBorder="1"/>
    <xf numFmtId="44" fontId="4" fillId="0" borderId="2" xfId="1" applyFont="1" applyFill="1" applyBorder="1" applyAlignment="1">
      <alignment horizontal="center"/>
    </xf>
    <xf numFmtId="44" fontId="2" fillId="0" borderId="1" xfId="1" applyFont="1" applyFill="1" applyBorder="1" applyAlignment="1">
      <alignment horizontal="center" wrapText="1"/>
    </xf>
    <xf numFmtId="44" fontId="3" fillId="0" borderId="2" xfId="1" applyFont="1" applyFill="1" applyBorder="1" applyAlignment="1">
      <alignment horizontal="center" wrapText="1"/>
    </xf>
    <xf numFmtId="44" fontId="5" fillId="0" borderId="0" xfId="1" applyFont="1" applyFill="1" applyBorder="1"/>
    <xf numFmtId="44" fontId="5" fillId="0" borderId="0" xfId="0" applyNumberFormat="1" applyFont="1" applyBorder="1"/>
    <xf numFmtId="44" fontId="8" fillId="0" borderId="0" xfId="0" applyNumberFormat="1" applyFont="1" applyBorder="1"/>
    <xf numFmtId="44" fontId="5" fillId="0" borderId="0" xfId="0" applyNumberFormat="1" applyFont="1"/>
    <xf numFmtId="44" fontId="5" fillId="0" borderId="0" xfId="1" applyFont="1"/>
    <xf numFmtId="44" fontId="4" fillId="0" borderId="1" xfId="1" applyFont="1" applyFill="1" applyBorder="1" applyAlignment="1">
      <alignment horizontal="center" wrapText="1"/>
    </xf>
    <xf numFmtId="44" fontId="8" fillId="0" borderId="0" xfId="1" applyFont="1" applyBorder="1"/>
    <xf numFmtId="44" fontId="10" fillId="0" borderId="0" xfId="0" applyNumberFormat="1" applyFont="1" applyBorder="1"/>
    <xf numFmtId="44" fontId="7" fillId="3" borderId="1" xfId="1" applyFont="1" applyFill="1" applyBorder="1"/>
    <xf numFmtId="44" fontId="7" fillId="3" borderId="2" xfId="1" applyFont="1" applyFill="1" applyBorder="1"/>
    <xf numFmtId="0" fontId="5" fillId="3" borderId="0" xfId="0" applyFont="1" applyFill="1"/>
    <xf numFmtId="0" fontId="5" fillId="0" borderId="0" xfId="0" applyFont="1" applyBorder="1" applyAlignment="1">
      <alignment wrapText="1"/>
    </xf>
    <xf numFmtId="44" fontId="4" fillId="0" borderId="1" xfId="1" applyFont="1" applyFill="1" applyBorder="1" applyAlignment="1">
      <alignment horizontal="right" wrapText="1"/>
    </xf>
    <xf numFmtId="44" fontId="5" fillId="0" borderId="1" xfId="1" applyFont="1" applyFill="1" applyBorder="1" applyAlignment="1">
      <alignment wrapText="1"/>
    </xf>
    <xf numFmtId="44" fontId="7" fillId="3" borderId="1" xfId="1" applyFont="1" applyFill="1" applyBorder="1" applyAlignment="1">
      <alignment wrapText="1"/>
    </xf>
    <xf numFmtId="44" fontId="5" fillId="0" borderId="0" xfId="1" applyFont="1" applyBorder="1" applyAlignment="1">
      <alignment wrapText="1"/>
    </xf>
    <xf numFmtId="0" fontId="7" fillId="4" borderId="0" xfId="0" applyFont="1" applyFill="1"/>
    <xf numFmtId="0" fontId="7" fillId="0" borderId="0" xfId="0" applyFont="1" applyFill="1" applyBorder="1" applyAlignment="1">
      <alignment horizontal="center"/>
    </xf>
    <xf numFmtId="44" fontId="7" fillId="0" borderId="0" xfId="1" applyFont="1" applyFill="1" applyBorder="1"/>
    <xf numFmtId="44" fontId="7" fillId="0" borderId="0" xfId="1" applyFont="1" applyFill="1" applyBorder="1" applyAlignment="1">
      <alignment wrapText="1"/>
    </xf>
    <xf numFmtId="0" fontId="6" fillId="3" borderId="6" xfId="2" applyFont="1" applyFill="1" applyBorder="1" applyAlignment="1">
      <alignment horizontal="center" vertical="center" wrapText="1"/>
    </xf>
    <xf numFmtId="44" fontId="11" fillId="0" borderId="1" xfId="1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4" fontId="5" fillId="0" borderId="0" xfId="0" applyNumberFormat="1" applyFont="1" applyAlignment="1">
      <alignment horizontal="left"/>
    </xf>
  </cellXfs>
  <cellStyles count="6">
    <cellStyle name="Currency" xfId="1" builtinId="4"/>
    <cellStyle name="Currency 2" xfId="3"/>
    <cellStyle name="Currency 3" xfId="5"/>
    <cellStyle name="Normal" xfId="0" builtinId="0"/>
    <cellStyle name="Normal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1930400</xdr:colOff>
      <xdr:row>51</xdr:row>
      <xdr:rowOff>107950</xdr:rowOff>
    </xdr:from>
    <xdr:ext cx="184731" cy="264560"/>
    <xdr:sp macro="" textlink="">
      <xdr:nvSpPr>
        <xdr:cNvPr id="2" name="TextBox 1"/>
        <xdr:cNvSpPr txBox="1"/>
      </xdr:nvSpPr>
      <xdr:spPr>
        <a:xfrm>
          <a:off x="2266950" y="1005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07"/>
  <sheetViews>
    <sheetView tabSelected="1" topLeftCell="A294" zoomScaleNormal="100" workbookViewId="0">
      <selection activeCell="B300" sqref="B300"/>
    </sheetView>
  </sheetViews>
  <sheetFormatPr defaultColWidth="8.53515625" defaultRowHeight="14.15" x14ac:dyDescent="0.35"/>
  <cols>
    <col min="1" max="1" width="4.3828125" style="12" customWidth="1"/>
    <col min="2" max="2" width="46.3828125" style="12" customWidth="1"/>
    <col min="3" max="3" width="17.53515625" style="12" customWidth="1"/>
    <col min="4" max="4" width="17" style="12" customWidth="1"/>
    <col min="5" max="5" width="0.53515625" style="12" customWidth="1"/>
    <col min="6" max="6" width="17.15234375" style="12" customWidth="1"/>
    <col min="7" max="7" width="17.84375" style="13" customWidth="1"/>
    <col min="8" max="8" width="0.53515625" style="13" customWidth="1"/>
    <col min="9" max="9" width="16.3828125" style="12" customWidth="1"/>
    <col min="10" max="10" width="16.3828125" style="13" customWidth="1"/>
    <col min="11" max="11" width="1" style="12" customWidth="1"/>
    <col min="12" max="12" width="16.3828125" style="12" customWidth="1"/>
    <col min="13" max="13" width="16.3828125" style="13" customWidth="1"/>
    <col min="14" max="14" width="18.53515625" style="13" customWidth="1"/>
    <col min="15" max="15" width="16.3828125" style="13" customWidth="1"/>
    <col min="16" max="16" width="18.53515625" style="13" customWidth="1"/>
    <col min="17" max="17" width="16.3828125" style="47" customWidth="1"/>
    <col min="18" max="18" width="18.53515625" style="13" customWidth="1"/>
    <col min="19" max="19" width="16.3828125" style="47" customWidth="1"/>
    <col min="20" max="16384" width="8.53515625" style="12"/>
  </cols>
  <sheetData>
    <row r="1" spans="1:19" ht="24.65" customHeight="1" x14ac:dyDescent="0.4">
      <c r="A1" s="63" t="s">
        <v>302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12"/>
      <c r="S1" s="12"/>
    </row>
    <row r="2" spans="1:19" ht="24.65" customHeight="1" x14ac:dyDescent="0.4">
      <c r="A2" s="63" t="s">
        <v>235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12"/>
      <c r="S2" s="12"/>
    </row>
    <row r="3" spans="1:19" ht="15.65" customHeight="1" x14ac:dyDescent="0.35"/>
    <row r="4" spans="1:19" ht="32.9" customHeight="1" x14ac:dyDescent="0.35">
      <c r="B4" s="61" t="s">
        <v>234</v>
      </c>
      <c r="C4" s="62"/>
      <c r="D4" s="20"/>
      <c r="E4" s="20"/>
    </row>
    <row r="5" spans="1:19" ht="15.65" customHeight="1" x14ac:dyDescent="0.35">
      <c r="B5" s="14" t="s">
        <v>228</v>
      </c>
      <c r="C5" s="11">
        <v>3400000</v>
      </c>
      <c r="D5" s="36"/>
      <c r="E5" s="16"/>
    </row>
    <row r="6" spans="1:19" ht="15.65" customHeight="1" x14ac:dyDescent="0.35">
      <c r="B6" s="14" t="s">
        <v>229</v>
      </c>
      <c r="C6" s="11">
        <v>2400000</v>
      </c>
      <c r="D6" s="36"/>
      <c r="E6" s="16"/>
    </row>
    <row r="7" spans="1:19" ht="15.65" customHeight="1" x14ac:dyDescent="0.35">
      <c r="B7" s="14" t="s">
        <v>231</v>
      </c>
      <c r="C7" s="11">
        <v>2400000</v>
      </c>
      <c r="D7" s="36"/>
      <c r="E7" s="16"/>
    </row>
    <row r="8" spans="1:19" ht="15.65" customHeight="1" x14ac:dyDescent="0.35">
      <c r="B8" s="14" t="s">
        <v>260</v>
      </c>
      <c r="C8" s="11">
        <v>2400000</v>
      </c>
      <c r="D8" s="36"/>
      <c r="E8" s="16"/>
    </row>
    <row r="9" spans="1:19" ht="15.65" customHeight="1" x14ac:dyDescent="0.35">
      <c r="B9" s="14" t="s">
        <v>271</v>
      </c>
      <c r="C9" s="11">
        <v>2400000</v>
      </c>
      <c r="D9" s="36"/>
      <c r="E9" s="16"/>
    </row>
    <row r="10" spans="1:19" ht="15.65" customHeight="1" x14ac:dyDescent="0.35">
      <c r="B10" s="14" t="s">
        <v>280</v>
      </c>
      <c r="C10" s="11">
        <v>2400000</v>
      </c>
      <c r="D10" s="36"/>
      <c r="E10" s="16"/>
    </row>
    <row r="11" spans="1:19" ht="15.65" customHeight="1" x14ac:dyDescent="0.35">
      <c r="B11" s="14" t="s">
        <v>281</v>
      </c>
      <c r="C11" s="11">
        <v>3400000</v>
      </c>
      <c r="D11" s="36"/>
      <c r="E11" s="16"/>
    </row>
    <row r="12" spans="1:19" ht="15.65" customHeight="1" x14ac:dyDescent="0.35">
      <c r="B12" s="14" t="s">
        <v>300</v>
      </c>
      <c r="C12" s="11">
        <v>2400000</v>
      </c>
      <c r="D12" s="36"/>
      <c r="E12" s="16"/>
    </row>
    <row r="13" spans="1:19" ht="15.65" customHeight="1" x14ac:dyDescent="0.35">
      <c r="B13" s="14" t="s">
        <v>301</v>
      </c>
      <c r="C13" s="11">
        <v>4113836.52</v>
      </c>
      <c r="D13" s="36"/>
      <c r="E13" s="16"/>
    </row>
    <row r="14" spans="1:19" ht="15.65" customHeight="1" x14ac:dyDescent="0.35">
      <c r="B14" s="26" t="s">
        <v>230</v>
      </c>
      <c r="C14" s="15">
        <f>SUM(C5:C13)</f>
        <v>25313836.52</v>
      </c>
      <c r="D14" s="19"/>
      <c r="E14" s="19"/>
    </row>
    <row r="15" spans="1:19" ht="15.65" customHeight="1" x14ac:dyDescent="0.35"/>
    <row r="16" spans="1:19" ht="15.65" customHeight="1" x14ac:dyDescent="0.35"/>
    <row r="18" spans="1:19" ht="42.65" customHeight="1" x14ac:dyDescent="0.35">
      <c r="B18" s="56"/>
      <c r="C18" s="24" t="s">
        <v>291</v>
      </c>
      <c r="D18" s="24" t="s">
        <v>292</v>
      </c>
      <c r="E18" s="25"/>
      <c r="F18" s="24" t="s">
        <v>232</v>
      </c>
      <c r="G18" s="24" t="s">
        <v>233</v>
      </c>
      <c r="H18" s="31"/>
      <c r="I18" s="24" t="s">
        <v>237</v>
      </c>
      <c r="J18" s="24" t="s">
        <v>238</v>
      </c>
      <c r="L18" s="24" t="s">
        <v>261</v>
      </c>
      <c r="M18" s="24" t="s">
        <v>262</v>
      </c>
      <c r="N18" s="24" t="s">
        <v>275</v>
      </c>
      <c r="O18" s="24" t="s">
        <v>273</v>
      </c>
      <c r="P18" s="24" t="s">
        <v>282</v>
      </c>
      <c r="Q18" s="24" t="s">
        <v>283</v>
      </c>
      <c r="R18" s="24" t="s">
        <v>294</v>
      </c>
      <c r="S18" s="24" t="s">
        <v>295</v>
      </c>
    </row>
    <row r="19" spans="1:19" ht="14.15" customHeight="1" x14ac:dyDescent="0.35">
      <c r="A19" s="12">
        <v>1</v>
      </c>
      <c r="B19" s="1" t="s">
        <v>239</v>
      </c>
      <c r="C19" s="11"/>
      <c r="D19" s="11"/>
      <c r="E19" s="32"/>
      <c r="F19" s="2"/>
      <c r="G19" s="2"/>
      <c r="H19" s="2"/>
      <c r="I19" s="27">
        <v>17809</v>
      </c>
      <c r="J19" s="2">
        <v>17809</v>
      </c>
      <c r="L19" s="27"/>
      <c r="M19" s="2"/>
      <c r="N19" s="2"/>
      <c r="O19" s="2"/>
      <c r="P19" s="4">
        <v>170305.15</v>
      </c>
      <c r="Q19" s="48">
        <v>48720.55</v>
      </c>
      <c r="R19" s="41"/>
      <c r="S19" s="41"/>
    </row>
    <row r="20" spans="1:19" ht="14.15" customHeight="1" x14ac:dyDescent="0.35">
      <c r="A20" s="12">
        <v>2</v>
      </c>
      <c r="B20" s="1" t="s">
        <v>162</v>
      </c>
      <c r="C20" s="11"/>
      <c r="D20" s="11"/>
      <c r="E20" s="32"/>
      <c r="F20" s="2">
        <v>29503.75</v>
      </c>
      <c r="G20" s="2">
        <v>19500</v>
      </c>
      <c r="H20" s="2"/>
      <c r="I20" s="27"/>
      <c r="J20" s="2"/>
      <c r="L20" s="27"/>
      <c r="M20" s="2"/>
      <c r="N20" s="2"/>
      <c r="O20" s="2"/>
      <c r="P20" s="2"/>
      <c r="Q20" s="48"/>
      <c r="R20" s="41"/>
      <c r="S20" s="41"/>
    </row>
    <row r="21" spans="1:19" s="23" customFormat="1" x14ac:dyDescent="0.35">
      <c r="A21" s="12">
        <v>3</v>
      </c>
      <c r="B21" s="3" t="s">
        <v>4</v>
      </c>
      <c r="C21" s="4">
        <v>182849</v>
      </c>
      <c r="D21" s="4">
        <v>142268</v>
      </c>
      <c r="E21" s="33"/>
      <c r="F21" s="4"/>
      <c r="G21" s="4"/>
      <c r="H21" s="4"/>
      <c r="I21" s="27"/>
      <c r="J21" s="4"/>
      <c r="L21" s="27"/>
      <c r="M21" s="4"/>
      <c r="N21" s="4">
        <v>66744.259999999995</v>
      </c>
      <c r="O21" s="4">
        <v>51103.1</v>
      </c>
      <c r="Q21" s="41"/>
      <c r="R21" s="41">
        <v>54434</v>
      </c>
      <c r="S21" s="41">
        <v>25849</v>
      </c>
    </row>
    <row r="22" spans="1:19" s="23" customFormat="1" x14ac:dyDescent="0.35">
      <c r="A22" s="12">
        <v>4</v>
      </c>
      <c r="B22" s="1" t="s">
        <v>277</v>
      </c>
      <c r="C22" s="11"/>
      <c r="D22" s="11"/>
      <c r="E22" s="32"/>
      <c r="F22" s="2">
        <v>73577.5</v>
      </c>
      <c r="G22" s="2">
        <v>70896.39</v>
      </c>
      <c r="H22" s="2"/>
      <c r="I22" s="27"/>
      <c r="J22" s="2"/>
      <c r="L22" s="27"/>
      <c r="M22" s="2"/>
      <c r="N22" s="2">
        <v>83255</v>
      </c>
      <c r="O22" s="2">
        <v>60189.65</v>
      </c>
      <c r="P22" s="2"/>
      <c r="Q22" s="48"/>
      <c r="R22" s="41">
        <v>30970.18</v>
      </c>
      <c r="S22" s="41">
        <v>30970.18</v>
      </c>
    </row>
    <row r="23" spans="1:19" s="23" customFormat="1" x14ac:dyDescent="0.35">
      <c r="A23" s="12">
        <v>5</v>
      </c>
      <c r="B23" s="1" t="s">
        <v>163</v>
      </c>
      <c r="C23" s="11"/>
      <c r="D23" s="11"/>
      <c r="E23" s="32"/>
      <c r="F23" s="2">
        <v>13900</v>
      </c>
      <c r="G23" s="2">
        <v>13900</v>
      </c>
      <c r="H23" s="2"/>
      <c r="I23" s="27"/>
      <c r="J23" s="2"/>
      <c r="L23" s="27"/>
      <c r="M23" s="2"/>
      <c r="N23" s="2">
        <v>36515</v>
      </c>
      <c r="O23" s="2">
        <v>28717.200000000001</v>
      </c>
      <c r="P23" s="2"/>
      <c r="Q23" s="48"/>
      <c r="R23" s="41"/>
      <c r="S23" s="41"/>
    </row>
    <row r="24" spans="1:19" s="23" customFormat="1" x14ac:dyDescent="0.35">
      <c r="A24" s="12">
        <v>6</v>
      </c>
      <c r="B24" s="5" t="s">
        <v>5</v>
      </c>
      <c r="C24" s="4">
        <v>24254</v>
      </c>
      <c r="D24" s="4">
        <v>17450</v>
      </c>
      <c r="E24" s="33"/>
      <c r="F24" s="4"/>
      <c r="G24" s="4"/>
      <c r="H24" s="4"/>
      <c r="I24" s="27"/>
      <c r="J24" s="4"/>
      <c r="L24" s="27"/>
      <c r="M24" s="4"/>
      <c r="N24" s="4"/>
      <c r="O24" s="4"/>
      <c r="P24" s="4"/>
      <c r="Q24" s="41"/>
      <c r="R24" s="41"/>
      <c r="S24" s="41"/>
    </row>
    <row r="25" spans="1:19" s="23" customFormat="1" x14ac:dyDescent="0.35">
      <c r="A25" s="12">
        <v>7</v>
      </c>
      <c r="B25" s="5" t="s">
        <v>6</v>
      </c>
      <c r="C25" s="4">
        <v>7271</v>
      </c>
      <c r="D25" s="4">
        <v>6600</v>
      </c>
      <c r="E25" s="33"/>
      <c r="F25" s="4"/>
      <c r="G25" s="4"/>
      <c r="H25" s="4"/>
      <c r="I25" s="27"/>
      <c r="J25" s="4"/>
      <c r="L25" s="27"/>
      <c r="M25" s="4"/>
      <c r="N25" s="4"/>
      <c r="O25" s="4"/>
      <c r="P25" s="4"/>
      <c r="Q25" s="41"/>
      <c r="R25" s="41"/>
      <c r="S25" s="41"/>
    </row>
    <row r="26" spans="1:19" s="23" customFormat="1" ht="26.9" customHeight="1" x14ac:dyDescent="0.35">
      <c r="A26" s="12">
        <v>8</v>
      </c>
      <c r="B26" s="5" t="s">
        <v>278</v>
      </c>
      <c r="C26" s="4">
        <v>132000</v>
      </c>
      <c r="D26" s="34" t="s">
        <v>236</v>
      </c>
      <c r="E26" s="35"/>
      <c r="F26" s="4"/>
      <c r="G26" s="4"/>
      <c r="H26" s="4"/>
      <c r="I26" s="27"/>
      <c r="J26" s="4"/>
      <c r="L26" s="27">
        <v>139095</v>
      </c>
      <c r="M26" s="4">
        <v>29940</v>
      </c>
      <c r="N26" s="4">
        <v>131415.25</v>
      </c>
      <c r="O26" s="4">
        <v>60189.64</v>
      </c>
      <c r="P26" s="4">
        <v>244787.5</v>
      </c>
      <c r="Q26" s="41">
        <v>85146.51</v>
      </c>
      <c r="R26" s="41">
        <v>314430.09000000003</v>
      </c>
      <c r="S26" s="41">
        <v>314430.09000000003</v>
      </c>
    </row>
    <row r="27" spans="1:19" s="23" customFormat="1" x14ac:dyDescent="0.35">
      <c r="A27" s="12">
        <v>9</v>
      </c>
      <c r="B27" s="5" t="s">
        <v>7</v>
      </c>
      <c r="C27" s="4">
        <v>95850</v>
      </c>
      <c r="D27" s="4">
        <v>55450</v>
      </c>
      <c r="E27" s="33"/>
      <c r="F27" s="4"/>
      <c r="G27" s="4"/>
      <c r="H27" s="4"/>
      <c r="I27" s="27"/>
      <c r="J27" s="4"/>
      <c r="L27" s="27"/>
      <c r="M27" s="4"/>
      <c r="N27" s="4"/>
      <c r="O27" s="4"/>
      <c r="P27" s="4">
        <v>58352.11</v>
      </c>
      <c r="Q27" s="41">
        <v>40993.11</v>
      </c>
      <c r="R27" s="41"/>
      <c r="S27" s="41"/>
    </row>
    <row r="28" spans="1:19" s="23" customFormat="1" x14ac:dyDescent="0.35">
      <c r="A28" s="12">
        <v>10</v>
      </c>
      <c r="B28" s="5" t="s">
        <v>240</v>
      </c>
      <c r="C28" s="4"/>
      <c r="D28" s="4"/>
      <c r="E28" s="33"/>
      <c r="F28" s="4"/>
      <c r="G28" s="4"/>
      <c r="H28" s="4"/>
      <c r="I28" s="27">
        <v>4153.96</v>
      </c>
      <c r="J28" s="4">
        <v>3603.96</v>
      </c>
      <c r="L28" s="27"/>
      <c r="M28" s="4"/>
      <c r="N28" s="4"/>
      <c r="O28" s="4"/>
      <c r="P28" s="4"/>
      <c r="Q28" s="41"/>
      <c r="R28" s="41">
        <v>22730</v>
      </c>
      <c r="S28" s="41">
        <v>14730</v>
      </c>
    </row>
    <row r="29" spans="1:19" s="23" customFormat="1" x14ac:dyDescent="0.35">
      <c r="A29" s="12">
        <v>11</v>
      </c>
      <c r="B29" s="5" t="s">
        <v>263</v>
      </c>
      <c r="C29" s="4"/>
      <c r="D29" s="4"/>
      <c r="E29" s="33"/>
      <c r="F29" s="4"/>
      <c r="G29" s="4"/>
      <c r="H29" s="4"/>
      <c r="I29" s="27"/>
      <c r="J29" s="4"/>
      <c r="L29" s="27">
        <v>21917.52</v>
      </c>
      <c r="M29" s="4">
        <v>17498</v>
      </c>
      <c r="N29" s="4"/>
      <c r="O29" s="4"/>
      <c r="Q29" s="41"/>
      <c r="R29" s="41"/>
      <c r="S29" s="41"/>
    </row>
    <row r="30" spans="1:19" s="23" customFormat="1" x14ac:dyDescent="0.35">
      <c r="A30" s="12">
        <v>12</v>
      </c>
      <c r="B30" s="5" t="s">
        <v>8</v>
      </c>
      <c r="C30" s="4">
        <v>8520</v>
      </c>
      <c r="D30" s="4">
        <v>7414</v>
      </c>
      <c r="E30" s="33"/>
      <c r="F30" s="4">
        <v>645</v>
      </c>
      <c r="G30" s="4">
        <v>0</v>
      </c>
      <c r="H30" s="4"/>
      <c r="I30" s="27">
        <v>18231</v>
      </c>
      <c r="J30" s="4">
        <v>18231</v>
      </c>
      <c r="L30" s="27"/>
      <c r="M30" s="4"/>
      <c r="N30" s="4"/>
      <c r="O30" s="4"/>
      <c r="P30" s="4"/>
      <c r="Q30" s="41"/>
      <c r="R30" s="41"/>
      <c r="S30" s="41"/>
    </row>
    <row r="31" spans="1:19" s="23" customFormat="1" x14ac:dyDescent="0.35">
      <c r="A31" s="12">
        <v>13</v>
      </c>
      <c r="B31" s="5" t="s">
        <v>286</v>
      </c>
      <c r="C31" s="4"/>
      <c r="D31" s="4"/>
      <c r="E31" s="33"/>
      <c r="F31" s="4"/>
      <c r="G31" s="4"/>
      <c r="H31" s="4"/>
      <c r="I31" s="27"/>
      <c r="J31" s="4"/>
      <c r="L31" s="27"/>
      <c r="M31" s="4"/>
      <c r="N31" s="4"/>
      <c r="O31" s="4"/>
      <c r="P31" s="4">
        <v>14111.71</v>
      </c>
      <c r="Q31" s="41">
        <v>14111.71</v>
      </c>
      <c r="R31" s="41">
        <v>12694.48</v>
      </c>
      <c r="S31" s="41">
        <v>12694.48</v>
      </c>
    </row>
    <row r="32" spans="1:19" s="23" customFormat="1" x14ac:dyDescent="0.35">
      <c r="A32" s="12">
        <v>14</v>
      </c>
      <c r="B32" s="5" t="s">
        <v>9</v>
      </c>
      <c r="C32" s="4">
        <v>5287.87</v>
      </c>
      <c r="D32" s="4">
        <v>4964</v>
      </c>
      <c r="E32" s="33"/>
      <c r="F32" s="4">
        <v>1000</v>
      </c>
      <c r="G32" s="4">
        <v>0</v>
      </c>
      <c r="H32" s="4"/>
      <c r="I32" s="27">
        <v>1599.96</v>
      </c>
      <c r="J32" s="4">
        <v>400</v>
      </c>
      <c r="L32" s="27"/>
      <c r="M32" s="4"/>
      <c r="N32" s="4"/>
      <c r="O32" s="4"/>
      <c r="P32" s="4"/>
      <c r="Q32" s="41"/>
      <c r="R32" s="41"/>
      <c r="S32" s="41"/>
    </row>
    <row r="33" spans="1:19" s="23" customFormat="1" x14ac:dyDescent="0.35">
      <c r="A33" s="12">
        <v>15</v>
      </c>
      <c r="B33" s="1" t="s">
        <v>224</v>
      </c>
      <c r="C33" s="11"/>
      <c r="D33" s="11"/>
      <c r="E33" s="32"/>
      <c r="F33" s="2">
        <v>22943.85</v>
      </c>
      <c r="G33" s="2">
        <v>22943.85</v>
      </c>
      <c r="H33" s="2"/>
      <c r="I33" s="27">
        <v>5191.2299999999996</v>
      </c>
      <c r="J33" s="2">
        <v>4136.34</v>
      </c>
      <c r="L33" s="27"/>
      <c r="M33" s="2"/>
      <c r="N33" s="2">
        <v>26093</v>
      </c>
      <c r="O33" s="2">
        <v>24259.200000000001</v>
      </c>
      <c r="P33" s="2">
        <v>29250.41</v>
      </c>
      <c r="Q33" s="48">
        <v>29250.41</v>
      </c>
      <c r="R33" s="41">
        <v>21772</v>
      </c>
      <c r="S33" s="41">
        <v>21772</v>
      </c>
    </row>
    <row r="34" spans="1:19" s="23" customFormat="1" x14ac:dyDescent="0.35">
      <c r="A34" s="12">
        <v>16</v>
      </c>
      <c r="B34" s="6" t="s">
        <v>10</v>
      </c>
      <c r="C34" s="17">
        <v>9578.3700000000008</v>
      </c>
      <c r="D34" s="17">
        <v>9578.3700000000008</v>
      </c>
      <c r="E34" s="33"/>
      <c r="F34" s="17"/>
      <c r="G34" s="4"/>
      <c r="H34" s="17"/>
      <c r="I34" s="28"/>
      <c r="J34" s="4"/>
      <c r="L34" s="27">
        <v>9773.6299999999992</v>
      </c>
      <c r="M34" s="4">
        <v>3407.63</v>
      </c>
      <c r="N34" s="4"/>
      <c r="O34" s="4"/>
      <c r="P34" s="4">
        <v>31842.34</v>
      </c>
      <c r="Q34" s="41">
        <v>22542</v>
      </c>
      <c r="R34" s="41">
        <v>10639.21</v>
      </c>
      <c r="S34" s="41">
        <v>10639.21</v>
      </c>
    </row>
    <row r="35" spans="1:19" s="23" customFormat="1" x14ac:dyDescent="0.35">
      <c r="A35" s="12">
        <v>17</v>
      </c>
      <c r="B35" s="5" t="s">
        <v>11</v>
      </c>
      <c r="C35" s="4">
        <v>13463.26</v>
      </c>
      <c r="D35" s="4">
        <v>13463.26</v>
      </c>
      <c r="E35" s="33"/>
      <c r="F35" s="4"/>
      <c r="G35" s="4"/>
      <c r="H35" s="4"/>
      <c r="I35" s="27"/>
      <c r="J35" s="4"/>
      <c r="L35" s="27">
        <v>23269.29</v>
      </c>
      <c r="M35" s="4">
        <v>21311.19</v>
      </c>
      <c r="N35" s="4"/>
      <c r="O35" s="4"/>
      <c r="P35" s="4"/>
      <c r="Q35" s="41"/>
      <c r="R35" s="41"/>
      <c r="S35" s="41"/>
    </row>
    <row r="36" spans="1:19" s="23" customFormat="1" x14ac:dyDescent="0.35">
      <c r="A36" s="12">
        <v>18</v>
      </c>
      <c r="B36" s="5" t="s">
        <v>12</v>
      </c>
      <c r="C36" s="4">
        <v>473211</v>
      </c>
      <c r="D36" s="4">
        <v>75000</v>
      </c>
      <c r="E36" s="33"/>
      <c r="F36" s="4"/>
      <c r="G36" s="4"/>
      <c r="H36" s="4"/>
      <c r="I36" s="27">
        <v>158364</v>
      </c>
      <c r="J36" s="4">
        <v>62095.55</v>
      </c>
      <c r="L36" s="27">
        <v>442080.44</v>
      </c>
      <c r="M36" s="4">
        <v>67584.95</v>
      </c>
      <c r="N36" s="4">
        <v>379212</v>
      </c>
      <c r="O36" s="4">
        <v>60189.64</v>
      </c>
      <c r="P36" s="4"/>
      <c r="Q36" s="41"/>
      <c r="R36" s="41">
        <v>58032.33</v>
      </c>
      <c r="S36" s="41">
        <v>58032.33</v>
      </c>
    </row>
    <row r="37" spans="1:19" s="23" customFormat="1" x14ac:dyDescent="0.35">
      <c r="A37" s="12">
        <v>19</v>
      </c>
      <c r="B37" s="5" t="s">
        <v>13</v>
      </c>
      <c r="C37" s="4">
        <v>37064</v>
      </c>
      <c r="D37" s="4">
        <v>37064</v>
      </c>
      <c r="E37" s="33"/>
      <c r="F37" s="4"/>
      <c r="G37" s="4"/>
      <c r="H37" s="4"/>
      <c r="I37" s="27"/>
      <c r="J37" s="4"/>
      <c r="L37" s="27"/>
      <c r="M37" s="4"/>
      <c r="N37" s="4"/>
      <c r="O37" s="4"/>
      <c r="P37" s="4">
        <v>24885.68</v>
      </c>
      <c r="Q37" s="41">
        <v>20103.93</v>
      </c>
      <c r="R37" s="41"/>
      <c r="S37" s="41"/>
    </row>
    <row r="38" spans="1:19" s="23" customFormat="1" x14ac:dyDescent="0.35">
      <c r="A38" s="12">
        <v>20</v>
      </c>
      <c r="B38" s="5" t="s">
        <v>14</v>
      </c>
      <c r="C38" s="4">
        <v>6933</v>
      </c>
      <c r="D38" s="4">
        <v>6933</v>
      </c>
      <c r="E38" s="33"/>
      <c r="F38" s="4"/>
      <c r="G38" s="4"/>
      <c r="H38" s="4"/>
      <c r="I38" s="27"/>
      <c r="J38" s="4"/>
      <c r="L38" s="27"/>
      <c r="M38" s="4"/>
      <c r="N38" s="4"/>
      <c r="O38" s="4"/>
      <c r="P38" s="4"/>
      <c r="Q38" s="41"/>
      <c r="R38" s="41">
        <v>21335</v>
      </c>
      <c r="S38" s="41">
        <v>18410</v>
      </c>
    </row>
    <row r="39" spans="1:19" s="23" customFormat="1" x14ac:dyDescent="0.35">
      <c r="A39" s="12">
        <v>21</v>
      </c>
      <c r="B39" s="1" t="s">
        <v>164</v>
      </c>
      <c r="C39" s="11"/>
      <c r="D39" s="11"/>
      <c r="E39" s="32"/>
      <c r="F39" s="2">
        <v>5000</v>
      </c>
      <c r="G39" s="2">
        <v>5000</v>
      </c>
      <c r="H39" s="2"/>
      <c r="I39" s="27">
        <v>16665</v>
      </c>
      <c r="J39" s="2">
        <v>16665</v>
      </c>
      <c r="L39" s="27"/>
      <c r="M39" s="2"/>
      <c r="N39" s="2"/>
      <c r="O39" s="2"/>
      <c r="P39" s="2">
        <v>7140</v>
      </c>
      <c r="Q39" s="48">
        <v>7140</v>
      </c>
      <c r="R39" s="41"/>
      <c r="S39" s="41"/>
    </row>
    <row r="40" spans="1:19" s="23" customFormat="1" x14ac:dyDescent="0.35">
      <c r="A40" s="12">
        <v>22</v>
      </c>
      <c r="B40" s="5" t="s">
        <v>15</v>
      </c>
      <c r="C40" s="4">
        <v>16269.86</v>
      </c>
      <c r="D40" s="4">
        <v>16269.86</v>
      </c>
      <c r="E40" s="33"/>
      <c r="F40" s="4"/>
      <c r="G40" s="4"/>
      <c r="H40" s="4"/>
      <c r="I40" s="27">
        <v>17253</v>
      </c>
      <c r="J40" s="4">
        <v>10125</v>
      </c>
      <c r="L40" s="27"/>
      <c r="M40" s="4"/>
      <c r="N40" s="4"/>
      <c r="O40" s="4"/>
      <c r="P40" s="4"/>
      <c r="Q40" s="41"/>
      <c r="R40" s="41">
        <v>22632</v>
      </c>
      <c r="S40" s="41">
        <v>13171</v>
      </c>
    </row>
    <row r="41" spans="1:19" s="23" customFormat="1" x14ac:dyDescent="0.35">
      <c r="A41" s="12">
        <v>23</v>
      </c>
      <c r="B41" s="5" t="s">
        <v>241</v>
      </c>
      <c r="C41" s="4"/>
      <c r="D41" s="4"/>
      <c r="E41" s="33"/>
      <c r="F41" s="4"/>
      <c r="G41" s="4"/>
      <c r="H41" s="4"/>
      <c r="I41" s="27">
        <v>128170</v>
      </c>
      <c r="J41" s="4">
        <v>41100</v>
      </c>
      <c r="L41" s="27"/>
      <c r="M41" s="4"/>
      <c r="N41" s="4"/>
      <c r="O41" s="4"/>
      <c r="P41" s="4"/>
      <c r="Q41" s="41"/>
      <c r="R41" s="41">
        <v>75653.22</v>
      </c>
      <c r="S41" s="41">
        <v>69962.97</v>
      </c>
    </row>
    <row r="42" spans="1:19" s="23" customFormat="1" x14ac:dyDescent="0.35">
      <c r="A42" s="12">
        <v>24</v>
      </c>
      <c r="B42" s="5" t="s">
        <v>16</v>
      </c>
      <c r="C42" s="4">
        <v>3661.74</v>
      </c>
      <c r="D42" s="4">
        <v>1800</v>
      </c>
      <c r="E42" s="33"/>
      <c r="F42" s="4"/>
      <c r="G42" s="4"/>
      <c r="H42" s="4"/>
      <c r="I42" s="27"/>
      <c r="J42" s="4"/>
      <c r="L42" s="27"/>
      <c r="M42" s="4"/>
      <c r="N42" s="4"/>
      <c r="O42" s="4"/>
      <c r="P42" s="4">
        <v>3775.9</v>
      </c>
      <c r="Q42" s="57" t="s">
        <v>293</v>
      </c>
      <c r="R42" s="41"/>
      <c r="S42" s="41"/>
    </row>
    <row r="43" spans="1:19" s="23" customFormat="1" x14ac:dyDescent="0.35">
      <c r="A43" s="12">
        <v>25</v>
      </c>
      <c r="B43" s="7" t="s">
        <v>165</v>
      </c>
      <c r="C43" s="11"/>
      <c r="D43" s="32"/>
      <c r="E43" s="32"/>
      <c r="F43" s="2">
        <v>32053</v>
      </c>
      <c r="G43" s="2">
        <v>26400</v>
      </c>
      <c r="H43" s="2"/>
      <c r="I43" s="27"/>
      <c r="J43" s="2"/>
      <c r="L43" s="27"/>
      <c r="M43" s="2"/>
      <c r="N43" s="2"/>
      <c r="O43" s="2"/>
      <c r="P43" s="2"/>
      <c r="Q43" s="48"/>
      <c r="R43" s="41"/>
      <c r="S43" s="41"/>
    </row>
    <row r="44" spans="1:19" s="23" customFormat="1" x14ac:dyDescent="0.35">
      <c r="A44" s="12">
        <v>26</v>
      </c>
      <c r="B44" s="1" t="s">
        <v>166</v>
      </c>
      <c r="C44" s="11"/>
      <c r="D44" s="11"/>
      <c r="E44" s="32"/>
      <c r="F44" s="2">
        <v>39765</v>
      </c>
      <c r="G44" s="2">
        <v>39765</v>
      </c>
      <c r="H44" s="2"/>
      <c r="I44" s="27"/>
      <c r="J44" s="2"/>
      <c r="L44" s="27"/>
      <c r="M44" s="2"/>
      <c r="N44" s="2"/>
      <c r="O44" s="2"/>
      <c r="P44" s="2">
        <v>21490</v>
      </c>
      <c r="Q44" s="48">
        <v>7090</v>
      </c>
      <c r="R44" s="41"/>
      <c r="S44" s="41"/>
    </row>
    <row r="45" spans="1:19" s="23" customFormat="1" x14ac:dyDescent="0.35">
      <c r="A45" s="12">
        <v>27</v>
      </c>
      <c r="B45" s="5" t="s">
        <v>17</v>
      </c>
      <c r="C45" s="4">
        <v>24388.37</v>
      </c>
      <c r="D45" s="4">
        <v>13200</v>
      </c>
      <c r="E45" s="33"/>
      <c r="F45" s="4">
        <v>41142.9</v>
      </c>
      <c r="G45" s="4">
        <v>0</v>
      </c>
      <c r="H45" s="4"/>
      <c r="I45" s="27">
        <v>66846.5</v>
      </c>
      <c r="J45" s="4">
        <v>38903.599999999999</v>
      </c>
      <c r="L45" s="27"/>
      <c r="M45" s="4"/>
      <c r="N45" s="4"/>
      <c r="O45" s="4"/>
      <c r="P45" s="4"/>
      <c r="Q45" s="41"/>
      <c r="R45" s="41"/>
      <c r="S45" s="41"/>
    </row>
    <row r="46" spans="1:19" s="23" customFormat="1" x14ac:dyDescent="0.35">
      <c r="A46" s="12">
        <v>28</v>
      </c>
      <c r="B46" s="1" t="s">
        <v>167</v>
      </c>
      <c r="C46" s="11"/>
      <c r="D46" s="11"/>
      <c r="E46" s="32"/>
      <c r="F46" s="2">
        <v>4994</v>
      </c>
      <c r="G46" s="2">
        <v>4994</v>
      </c>
      <c r="H46" s="2"/>
      <c r="I46" s="27"/>
      <c r="J46" s="2"/>
      <c r="L46" s="27"/>
      <c r="M46" s="2"/>
      <c r="N46" s="2"/>
      <c r="O46" s="2"/>
      <c r="P46" s="2"/>
      <c r="Q46" s="48"/>
      <c r="R46" s="41"/>
      <c r="S46" s="41"/>
    </row>
    <row r="47" spans="1:19" s="23" customFormat="1" x14ac:dyDescent="0.35">
      <c r="A47" s="12">
        <v>29</v>
      </c>
      <c r="B47" s="1" t="s">
        <v>168</v>
      </c>
      <c r="C47" s="11"/>
      <c r="D47" s="11"/>
      <c r="E47" s="32"/>
      <c r="F47" s="2">
        <v>10915</v>
      </c>
      <c r="G47" s="2">
        <v>10325</v>
      </c>
      <c r="H47" s="2"/>
      <c r="I47" s="27">
        <v>929.25</v>
      </c>
      <c r="J47" s="2">
        <v>929.25</v>
      </c>
      <c r="L47" s="27">
        <v>332.64</v>
      </c>
      <c r="M47" s="2">
        <v>332.64</v>
      </c>
      <c r="N47" s="2"/>
      <c r="O47" s="2"/>
      <c r="P47" s="2"/>
      <c r="Q47" s="48"/>
      <c r="R47" s="41"/>
      <c r="S47" s="41"/>
    </row>
    <row r="48" spans="1:19" s="23" customFormat="1" x14ac:dyDescent="0.35">
      <c r="A48" s="12">
        <v>30</v>
      </c>
      <c r="B48" s="1" t="s">
        <v>157</v>
      </c>
      <c r="C48" s="4">
        <v>11566.88</v>
      </c>
      <c r="D48" s="4">
        <v>8800</v>
      </c>
      <c r="E48" s="33"/>
      <c r="F48" s="4"/>
      <c r="G48" s="4"/>
      <c r="H48" s="4"/>
      <c r="I48" s="27"/>
      <c r="J48" s="4"/>
      <c r="L48" s="27"/>
      <c r="M48" s="4"/>
      <c r="N48" s="4"/>
      <c r="O48" s="4"/>
      <c r="P48" s="4"/>
      <c r="Q48" s="41"/>
      <c r="R48" s="41"/>
      <c r="S48" s="41"/>
    </row>
    <row r="49" spans="1:19" s="23" customFormat="1" x14ac:dyDescent="0.35">
      <c r="A49" s="12">
        <v>31</v>
      </c>
      <c r="B49" s="5" t="s">
        <v>18</v>
      </c>
      <c r="C49" s="4">
        <v>20743</v>
      </c>
      <c r="D49" s="4">
        <v>20743</v>
      </c>
      <c r="E49" s="33"/>
      <c r="F49" s="4"/>
      <c r="G49" s="4"/>
      <c r="H49" s="4"/>
      <c r="I49" s="27"/>
      <c r="J49" s="4"/>
      <c r="L49" s="27"/>
      <c r="M49" s="4"/>
      <c r="N49" s="4"/>
      <c r="O49" s="4"/>
      <c r="P49" s="4"/>
      <c r="Q49" s="41"/>
      <c r="R49" s="41"/>
      <c r="S49" s="41"/>
    </row>
    <row r="50" spans="1:19" s="23" customFormat="1" x14ac:dyDescent="0.35">
      <c r="A50" s="12">
        <v>32</v>
      </c>
      <c r="B50" s="5" t="s">
        <v>21</v>
      </c>
      <c r="C50" s="4">
        <v>49129</v>
      </c>
      <c r="D50" s="4">
        <v>26315</v>
      </c>
      <c r="E50" s="33"/>
      <c r="F50" s="4">
        <v>8444.14</v>
      </c>
      <c r="G50" s="4">
        <v>0</v>
      </c>
      <c r="H50" s="4"/>
      <c r="I50" s="27">
        <v>14213.32</v>
      </c>
      <c r="J50" s="4">
        <v>14213.32</v>
      </c>
      <c r="L50" s="27">
        <v>13616.49</v>
      </c>
      <c r="M50" s="4">
        <v>13616.49</v>
      </c>
      <c r="N50" s="4">
        <v>9594.44</v>
      </c>
      <c r="O50" s="4">
        <v>9594.44</v>
      </c>
      <c r="P50" s="4"/>
      <c r="Q50" s="41"/>
      <c r="R50" s="41"/>
      <c r="S50" s="41"/>
    </row>
    <row r="51" spans="1:19" s="23" customFormat="1" x14ac:dyDescent="0.35">
      <c r="A51" s="12">
        <v>33</v>
      </c>
      <c r="B51" s="1" t="s">
        <v>169</v>
      </c>
      <c r="C51" s="11"/>
      <c r="D51" s="11"/>
      <c r="E51" s="32"/>
      <c r="F51" s="2">
        <v>2816</v>
      </c>
      <c r="G51" s="2">
        <v>2400</v>
      </c>
      <c r="H51" s="2"/>
      <c r="I51" s="27"/>
      <c r="J51" s="2"/>
      <c r="L51" s="27"/>
      <c r="M51" s="2"/>
      <c r="N51" s="2"/>
      <c r="O51" s="2"/>
      <c r="P51" s="2"/>
      <c r="Q51" s="48"/>
      <c r="R51" s="41"/>
      <c r="S51" s="41"/>
    </row>
    <row r="52" spans="1:19" s="23" customFormat="1" x14ac:dyDescent="0.35">
      <c r="A52" s="12">
        <v>34</v>
      </c>
      <c r="B52" s="1" t="s">
        <v>170</v>
      </c>
      <c r="C52" s="11"/>
      <c r="D52" s="11"/>
      <c r="E52" s="32"/>
      <c r="F52" s="2">
        <v>32000</v>
      </c>
      <c r="G52" s="2">
        <v>13250</v>
      </c>
      <c r="H52" s="2"/>
      <c r="I52" s="27"/>
      <c r="J52" s="2"/>
      <c r="L52" s="27"/>
      <c r="M52" s="2"/>
      <c r="N52" s="2">
        <v>19372.349999999999</v>
      </c>
      <c r="O52" s="2">
        <v>19372.349999999999</v>
      </c>
      <c r="P52" s="2">
        <v>55575.8</v>
      </c>
      <c r="Q52" s="48">
        <v>25933.5</v>
      </c>
      <c r="R52" s="41"/>
      <c r="S52" s="41"/>
    </row>
    <row r="53" spans="1:19" s="23" customFormat="1" x14ac:dyDescent="0.35">
      <c r="A53" s="12">
        <v>35</v>
      </c>
      <c r="B53" s="5" t="s">
        <v>20</v>
      </c>
      <c r="C53" s="4">
        <v>4367.4399999999996</v>
      </c>
      <c r="D53" s="4">
        <v>3643.5</v>
      </c>
      <c r="E53" s="33"/>
      <c r="F53" s="4">
        <v>1695</v>
      </c>
      <c r="G53" s="4">
        <v>0</v>
      </c>
      <c r="H53" s="4"/>
      <c r="I53" s="27">
        <v>2035.61</v>
      </c>
      <c r="J53" s="4">
        <v>2035.61</v>
      </c>
      <c r="L53" s="27"/>
      <c r="M53" s="4"/>
      <c r="N53" s="4"/>
      <c r="O53" s="4"/>
      <c r="P53" s="4"/>
      <c r="Q53" s="41"/>
      <c r="R53" s="41"/>
      <c r="S53" s="41"/>
    </row>
    <row r="54" spans="1:19" s="23" customFormat="1" x14ac:dyDescent="0.35">
      <c r="A54" s="12">
        <v>36</v>
      </c>
      <c r="B54" s="5" t="s">
        <v>19</v>
      </c>
      <c r="C54" s="4">
        <v>15152.8</v>
      </c>
      <c r="D54" s="4">
        <v>6700</v>
      </c>
      <c r="E54" s="33"/>
      <c r="F54" s="4">
        <v>1947.4</v>
      </c>
      <c r="G54" s="4">
        <v>0</v>
      </c>
      <c r="H54" s="4"/>
      <c r="I54" s="27"/>
      <c r="J54" s="4"/>
      <c r="L54" s="27"/>
      <c r="M54" s="4"/>
      <c r="N54" s="4"/>
      <c r="O54" s="4"/>
      <c r="P54" s="4"/>
      <c r="Q54" s="41"/>
      <c r="R54" s="41">
        <v>20367.45</v>
      </c>
      <c r="S54" s="41">
        <v>18270.45</v>
      </c>
    </row>
    <row r="55" spans="1:19" s="23" customFormat="1" ht="17.899999999999999" customHeight="1" x14ac:dyDescent="0.35">
      <c r="A55" s="12">
        <v>37</v>
      </c>
      <c r="B55" s="5" t="s">
        <v>225</v>
      </c>
      <c r="C55" s="4">
        <v>30048.39</v>
      </c>
      <c r="D55" s="4">
        <v>28851.39</v>
      </c>
      <c r="E55" s="33"/>
      <c r="F55" s="4"/>
      <c r="G55" s="4"/>
      <c r="H55" s="4"/>
      <c r="I55" s="27"/>
      <c r="J55" s="4"/>
      <c r="L55" s="27"/>
      <c r="M55" s="4"/>
      <c r="N55" s="4"/>
      <c r="O55" s="4"/>
      <c r="P55" s="4"/>
      <c r="Q55" s="41"/>
      <c r="R55" s="41"/>
      <c r="S55" s="41"/>
    </row>
    <row r="56" spans="1:19" s="23" customFormat="1" x14ac:dyDescent="0.35">
      <c r="A56" s="12">
        <v>38</v>
      </c>
      <c r="B56" s="1" t="s">
        <v>216</v>
      </c>
      <c r="C56" s="11"/>
      <c r="D56" s="11"/>
      <c r="E56" s="32"/>
      <c r="F56" s="2">
        <v>2788.42</v>
      </c>
      <c r="G56" s="2">
        <v>2788.41</v>
      </c>
      <c r="H56" s="2"/>
      <c r="I56" s="27"/>
      <c r="J56" s="2"/>
      <c r="L56" s="27"/>
      <c r="M56" s="2"/>
      <c r="N56" s="2"/>
      <c r="O56" s="2"/>
      <c r="P56" s="2"/>
      <c r="Q56" s="48"/>
      <c r="R56" s="41"/>
      <c r="S56" s="41"/>
    </row>
    <row r="57" spans="1:19" s="23" customFormat="1" ht="20.9" customHeight="1" x14ac:dyDescent="0.35">
      <c r="A57" s="12">
        <v>39</v>
      </c>
      <c r="B57" s="5" t="s">
        <v>22</v>
      </c>
      <c r="C57" s="4">
        <v>226985</v>
      </c>
      <c r="D57" s="4">
        <v>81800</v>
      </c>
      <c r="E57" s="33"/>
      <c r="F57" s="4">
        <v>143178</v>
      </c>
      <c r="G57" s="4">
        <v>13913</v>
      </c>
      <c r="H57" s="4"/>
      <c r="I57" s="27">
        <v>152025.94</v>
      </c>
      <c r="J57" s="4">
        <v>62095.55</v>
      </c>
      <c r="L57" s="27">
        <v>89930.39</v>
      </c>
      <c r="M57" s="4">
        <v>67584.95</v>
      </c>
      <c r="N57" s="4">
        <v>48295.74</v>
      </c>
      <c r="O57" s="4">
        <v>44707.74</v>
      </c>
      <c r="P57" s="4"/>
      <c r="Q57" s="41"/>
      <c r="R57" s="41"/>
      <c r="S57" s="41"/>
    </row>
    <row r="58" spans="1:19" s="23" customFormat="1" x14ac:dyDescent="0.35">
      <c r="A58" s="12">
        <v>40</v>
      </c>
      <c r="B58" s="5" t="s">
        <v>23</v>
      </c>
      <c r="C58" s="4">
        <v>466005.94</v>
      </c>
      <c r="D58" s="4">
        <v>84803</v>
      </c>
      <c r="E58" s="33"/>
      <c r="F58" s="4">
        <v>314118.15000000002</v>
      </c>
      <c r="G58" s="4">
        <v>88380.62</v>
      </c>
      <c r="H58" s="4"/>
      <c r="I58" s="27"/>
      <c r="J58" s="4"/>
      <c r="L58" s="27">
        <v>454084.19</v>
      </c>
      <c r="M58" s="4">
        <v>67584.94</v>
      </c>
      <c r="N58" s="4">
        <v>696072</v>
      </c>
      <c r="O58" s="4">
        <v>60189.64</v>
      </c>
      <c r="P58" s="4"/>
      <c r="Q58" s="41"/>
      <c r="R58" s="41">
        <v>284980.5</v>
      </c>
      <c r="S58" s="41">
        <v>184396.78</v>
      </c>
    </row>
    <row r="59" spans="1:19" s="23" customFormat="1" x14ac:dyDescent="0.35">
      <c r="A59" s="12">
        <v>41</v>
      </c>
      <c r="B59" s="5" t="s">
        <v>24</v>
      </c>
      <c r="C59" s="4">
        <v>19938.39</v>
      </c>
      <c r="D59" s="4">
        <v>16158</v>
      </c>
      <c r="E59" s="33"/>
      <c r="F59" s="4"/>
      <c r="G59" s="4"/>
      <c r="H59" s="4"/>
      <c r="I59" s="27"/>
      <c r="J59" s="4"/>
      <c r="L59" s="27"/>
      <c r="M59" s="4"/>
      <c r="N59" s="4"/>
      <c r="O59" s="4"/>
      <c r="P59" s="4"/>
      <c r="Q59" s="41"/>
      <c r="R59" s="41"/>
      <c r="S59" s="41"/>
    </row>
    <row r="60" spans="1:19" s="23" customFormat="1" x14ac:dyDescent="0.35">
      <c r="A60" s="12">
        <v>42</v>
      </c>
      <c r="B60" s="1" t="s">
        <v>171</v>
      </c>
      <c r="C60" s="11"/>
      <c r="D60" s="11"/>
      <c r="E60" s="32"/>
      <c r="F60" s="2">
        <v>153005</v>
      </c>
      <c r="G60" s="2">
        <v>119630</v>
      </c>
      <c r="H60" s="2"/>
      <c r="I60" s="27"/>
      <c r="J60" s="2"/>
      <c r="L60" s="27"/>
      <c r="M60" s="2"/>
      <c r="N60" s="2">
        <v>122438.01</v>
      </c>
      <c r="O60" s="2">
        <v>60189.65</v>
      </c>
      <c r="P60" s="2">
        <v>173483.68</v>
      </c>
      <c r="Q60" s="48">
        <v>85146.51</v>
      </c>
      <c r="R60" s="41"/>
      <c r="S60" s="41"/>
    </row>
    <row r="61" spans="1:19" s="23" customFormat="1" x14ac:dyDescent="0.35">
      <c r="A61" s="12">
        <v>43</v>
      </c>
      <c r="B61" s="5" t="s">
        <v>25</v>
      </c>
      <c r="C61" s="4">
        <v>1729.9</v>
      </c>
      <c r="D61" s="4">
        <v>1729.9</v>
      </c>
      <c r="E61" s="33"/>
      <c r="F61" s="4"/>
      <c r="G61" s="4"/>
      <c r="H61" s="4"/>
      <c r="I61" s="27"/>
      <c r="J61" s="4"/>
      <c r="L61" s="27"/>
      <c r="M61" s="4"/>
      <c r="N61" s="4"/>
      <c r="O61" s="4"/>
      <c r="P61" s="4"/>
      <c r="Q61" s="41"/>
      <c r="R61" s="41"/>
      <c r="S61" s="41"/>
    </row>
    <row r="62" spans="1:19" s="23" customFormat="1" x14ac:dyDescent="0.35">
      <c r="A62" s="12">
        <v>44</v>
      </c>
      <c r="B62" s="5" t="s">
        <v>279</v>
      </c>
      <c r="C62" s="4">
        <v>104214</v>
      </c>
      <c r="D62" s="4">
        <v>93871</v>
      </c>
      <c r="E62" s="33"/>
      <c r="F62" s="4"/>
      <c r="G62" s="4"/>
      <c r="H62" s="4"/>
      <c r="I62" s="27">
        <v>251786.88</v>
      </c>
      <c r="J62" s="4">
        <v>62095.55</v>
      </c>
      <c r="L62" s="27">
        <v>188840.16</v>
      </c>
      <c r="M62" s="4">
        <v>67584.95</v>
      </c>
      <c r="N62" s="4">
        <v>121255.21</v>
      </c>
      <c r="O62" s="4">
        <v>60189.64</v>
      </c>
      <c r="P62" s="4">
        <v>67976.490000000005</v>
      </c>
      <c r="Q62" s="41">
        <v>67976.490000000005</v>
      </c>
      <c r="R62" s="41">
        <v>67976.490000000005</v>
      </c>
      <c r="S62" s="41">
        <v>67976.490000000005</v>
      </c>
    </row>
    <row r="63" spans="1:19" s="23" customFormat="1" x14ac:dyDescent="0.35">
      <c r="A63" s="12">
        <v>45</v>
      </c>
      <c r="B63" s="5" t="s">
        <v>26</v>
      </c>
      <c r="C63" s="4">
        <v>60000</v>
      </c>
      <c r="D63" s="4">
        <v>26000</v>
      </c>
      <c r="E63" s="33"/>
      <c r="F63" s="4"/>
      <c r="G63" s="4"/>
      <c r="H63" s="4"/>
      <c r="I63" s="27"/>
      <c r="J63" s="4"/>
      <c r="L63" s="27"/>
      <c r="M63" s="4"/>
      <c r="N63" s="4"/>
      <c r="O63" s="4"/>
      <c r="P63" s="4">
        <v>58345.120000000003</v>
      </c>
      <c r="Q63" s="41">
        <v>55215.92</v>
      </c>
      <c r="R63" s="41">
        <v>170465.39</v>
      </c>
      <c r="S63" s="41">
        <v>25539.97</v>
      </c>
    </row>
    <row r="64" spans="1:19" s="23" customFormat="1" x14ac:dyDescent="0.35">
      <c r="A64" s="12">
        <v>46</v>
      </c>
      <c r="B64" s="5" t="s">
        <v>27</v>
      </c>
      <c r="C64" s="4">
        <v>21158.36</v>
      </c>
      <c r="D64" s="4">
        <v>19200</v>
      </c>
      <c r="E64" s="33"/>
      <c r="F64" s="4"/>
      <c r="G64" s="4"/>
      <c r="H64" s="4"/>
      <c r="I64" s="27"/>
      <c r="J64" s="4"/>
      <c r="L64" s="27">
        <v>28004</v>
      </c>
      <c r="M64" s="4">
        <v>28004</v>
      </c>
      <c r="N64" s="4">
        <v>34954.51</v>
      </c>
      <c r="O64" s="4">
        <v>34381.120000000003</v>
      </c>
      <c r="P64" s="4">
        <v>40602.78</v>
      </c>
      <c r="Q64" s="41">
        <v>39926.9</v>
      </c>
      <c r="R64" s="41">
        <v>32689.98</v>
      </c>
      <c r="S64" s="41">
        <v>32689.98</v>
      </c>
    </row>
    <row r="65" spans="1:19" s="23" customFormat="1" x14ac:dyDescent="0.35">
      <c r="A65" s="12">
        <v>47</v>
      </c>
      <c r="B65" s="1" t="s">
        <v>28</v>
      </c>
      <c r="C65" s="4">
        <v>9105.5</v>
      </c>
      <c r="D65" s="4">
        <v>8126</v>
      </c>
      <c r="E65" s="33"/>
      <c r="F65" s="4"/>
      <c r="G65" s="4"/>
      <c r="H65" s="4"/>
      <c r="I65" s="27">
        <v>6366.85</v>
      </c>
      <c r="J65" s="4">
        <v>5818.85</v>
      </c>
      <c r="L65" s="27">
        <v>4045.15</v>
      </c>
      <c r="M65" s="4">
        <v>4045.15</v>
      </c>
      <c r="N65" s="4">
        <v>4882.25</v>
      </c>
      <c r="O65" s="4">
        <v>4882.25</v>
      </c>
      <c r="P65" s="4"/>
      <c r="Q65" s="41"/>
      <c r="R65" s="41">
        <v>13265.52</v>
      </c>
      <c r="S65" s="41">
        <v>13265.52</v>
      </c>
    </row>
    <row r="66" spans="1:19" s="23" customFormat="1" x14ac:dyDescent="0.35">
      <c r="A66" s="12">
        <v>48</v>
      </c>
      <c r="B66" s="1" t="s">
        <v>30</v>
      </c>
      <c r="C66" s="4">
        <v>14512</v>
      </c>
      <c r="D66" s="4">
        <v>9600</v>
      </c>
      <c r="E66" s="33"/>
      <c r="F66" s="4"/>
      <c r="G66" s="4"/>
      <c r="H66" s="4"/>
      <c r="I66" s="27"/>
      <c r="J66" s="4"/>
      <c r="L66" s="27"/>
      <c r="M66" s="4"/>
      <c r="N66" s="4"/>
      <c r="O66" s="4"/>
      <c r="P66" s="4"/>
      <c r="Q66" s="41"/>
      <c r="R66" s="41"/>
      <c r="S66" s="41"/>
    </row>
    <row r="67" spans="1:19" s="23" customFormat="1" x14ac:dyDescent="0.35">
      <c r="A67" s="12">
        <v>49</v>
      </c>
      <c r="B67" s="1" t="s">
        <v>172</v>
      </c>
      <c r="C67" s="11"/>
      <c r="D67" s="11"/>
      <c r="E67" s="32"/>
      <c r="F67" s="2">
        <v>25218</v>
      </c>
      <c r="G67" s="2">
        <v>20127.150000000001</v>
      </c>
      <c r="H67" s="2"/>
      <c r="I67" s="27">
        <v>8800</v>
      </c>
      <c r="J67" s="2">
        <v>8800</v>
      </c>
      <c r="L67" s="27">
        <v>14050</v>
      </c>
      <c r="M67" s="2">
        <v>11950</v>
      </c>
      <c r="N67" s="2">
        <v>35205</v>
      </c>
      <c r="O67" s="2">
        <v>27105</v>
      </c>
      <c r="P67" s="2">
        <v>47953.17</v>
      </c>
      <c r="Q67" s="48">
        <v>40349.17</v>
      </c>
      <c r="R67" s="41">
        <v>25101.86</v>
      </c>
      <c r="S67" s="41">
        <v>25101.86</v>
      </c>
    </row>
    <row r="68" spans="1:19" s="23" customFormat="1" x14ac:dyDescent="0.35">
      <c r="A68" s="12">
        <v>50</v>
      </c>
      <c r="B68" s="1" t="s">
        <v>29</v>
      </c>
      <c r="C68" s="4">
        <v>13568.87</v>
      </c>
      <c r="D68" s="4">
        <v>8328.42</v>
      </c>
      <c r="E68" s="33"/>
      <c r="F68" s="4"/>
      <c r="G68" s="4"/>
      <c r="H68" s="4"/>
      <c r="I68" s="27">
        <v>1650</v>
      </c>
      <c r="J68" s="4">
        <v>1650</v>
      </c>
      <c r="L68" s="27">
        <v>7772.14</v>
      </c>
      <c r="M68" s="4">
        <v>7772.14</v>
      </c>
      <c r="N68" s="4">
        <v>9587.2000000000007</v>
      </c>
      <c r="O68" s="4">
        <v>9587.2000000000007</v>
      </c>
      <c r="P68" s="4">
        <v>18622.849999999999</v>
      </c>
      <c r="Q68" s="41">
        <v>10704.84</v>
      </c>
      <c r="R68" s="41">
        <v>3910.85</v>
      </c>
      <c r="S68" s="41">
        <v>3910.85</v>
      </c>
    </row>
    <row r="69" spans="1:19" s="23" customFormat="1" x14ac:dyDescent="0.35">
      <c r="A69" s="12">
        <v>51</v>
      </c>
      <c r="B69" s="1" t="s">
        <v>173</v>
      </c>
      <c r="C69" s="11"/>
      <c r="D69" s="11"/>
      <c r="E69" s="32"/>
      <c r="F69" s="2">
        <v>31395.81</v>
      </c>
      <c r="G69" s="2">
        <v>31395.81</v>
      </c>
      <c r="H69" s="2"/>
      <c r="I69" s="27"/>
      <c r="J69" s="2"/>
      <c r="L69" s="27"/>
      <c r="M69" s="2"/>
      <c r="N69" s="2">
        <v>39414.629999999997</v>
      </c>
      <c r="O69" s="2">
        <v>39414.629999999997</v>
      </c>
      <c r="P69" s="2"/>
      <c r="Q69" s="48"/>
      <c r="R69" s="41">
        <v>91173.99</v>
      </c>
      <c r="S69" s="41">
        <v>91173.99</v>
      </c>
    </row>
    <row r="70" spans="1:19" s="23" customFormat="1" x14ac:dyDescent="0.35">
      <c r="A70" s="12">
        <v>52</v>
      </c>
      <c r="B70" s="1" t="s">
        <v>274</v>
      </c>
      <c r="C70" s="11"/>
      <c r="D70" s="11"/>
      <c r="E70" s="32"/>
      <c r="F70" s="2"/>
      <c r="G70" s="2"/>
      <c r="H70" s="2"/>
      <c r="I70" s="27"/>
      <c r="J70" s="2"/>
      <c r="L70" s="27"/>
      <c r="M70" s="2"/>
      <c r="N70" s="2">
        <v>17013</v>
      </c>
      <c r="O70" s="2">
        <v>12278.25</v>
      </c>
      <c r="P70" s="2">
        <v>15900</v>
      </c>
      <c r="Q70" s="48">
        <v>11475</v>
      </c>
      <c r="R70" s="41">
        <v>18667.599999999999</v>
      </c>
      <c r="S70" s="41">
        <v>14433.8</v>
      </c>
    </row>
    <row r="71" spans="1:19" s="23" customFormat="1" x14ac:dyDescent="0.35">
      <c r="A71" s="12">
        <v>53</v>
      </c>
      <c r="B71" s="1" t="s">
        <v>264</v>
      </c>
      <c r="C71" s="11"/>
      <c r="D71" s="11"/>
      <c r="E71" s="32"/>
      <c r="F71" s="2"/>
      <c r="G71" s="2"/>
      <c r="H71" s="2"/>
      <c r="I71" s="27"/>
      <c r="J71" s="2"/>
      <c r="L71" s="27">
        <v>16878</v>
      </c>
      <c r="M71" s="2">
        <v>8300.8799999999992</v>
      </c>
      <c r="N71" s="2"/>
      <c r="O71" s="2"/>
      <c r="P71" s="2"/>
      <c r="Q71" s="48"/>
      <c r="R71" s="41"/>
      <c r="S71" s="41"/>
    </row>
    <row r="72" spans="1:19" s="23" customFormat="1" x14ac:dyDescent="0.35">
      <c r="A72" s="12">
        <v>54</v>
      </c>
      <c r="B72" s="1" t="s">
        <v>174</v>
      </c>
      <c r="C72" s="11"/>
      <c r="D72" s="11"/>
      <c r="E72" s="32"/>
      <c r="F72" s="2">
        <v>25604.98</v>
      </c>
      <c r="G72" s="2">
        <v>23235.39</v>
      </c>
      <c r="H72" s="2"/>
      <c r="I72" s="27"/>
      <c r="J72" s="2"/>
      <c r="L72" s="27"/>
      <c r="M72" s="2"/>
      <c r="N72" s="2"/>
      <c r="O72" s="2"/>
      <c r="P72" s="2"/>
      <c r="Q72" s="48"/>
      <c r="R72" s="41"/>
      <c r="S72" s="41"/>
    </row>
    <row r="73" spans="1:19" s="23" customFormat="1" x14ac:dyDescent="0.35">
      <c r="A73" s="12">
        <v>55</v>
      </c>
      <c r="B73" s="1" t="s">
        <v>31</v>
      </c>
      <c r="C73" s="4">
        <v>51363.08</v>
      </c>
      <c r="D73" s="4">
        <v>24000</v>
      </c>
      <c r="E73" s="33"/>
      <c r="F73" s="4"/>
      <c r="G73" s="4"/>
      <c r="H73" s="4"/>
      <c r="I73" s="27"/>
      <c r="J73" s="4"/>
      <c r="L73" s="27"/>
      <c r="M73" s="4"/>
      <c r="N73" s="4"/>
      <c r="O73" s="4"/>
      <c r="P73" s="4">
        <v>28160</v>
      </c>
      <c r="Q73" s="41">
        <v>24360</v>
      </c>
      <c r="R73" s="41"/>
      <c r="S73" s="41"/>
    </row>
    <row r="74" spans="1:19" s="23" customFormat="1" x14ac:dyDescent="0.35">
      <c r="A74" s="12">
        <v>56</v>
      </c>
      <c r="B74" s="1" t="s">
        <v>284</v>
      </c>
      <c r="C74" s="4">
        <v>37358</v>
      </c>
      <c r="D74" s="4">
        <v>34757</v>
      </c>
      <c r="E74" s="33"/>
      <c r="F74" s="4"/>
      <c r="G74" s="4"/>
      <c r="H74" s="4"/>
      <c r="I74" s="27">
        <v>5515</v>
      </c>
      <c r="J74" s="4">
        <v>5515</v>
      </c>
      <c r="L74" s="27">
        <v>5865</v>
      </c>
      <c r="M74" s="4">
        <v>5865</v>
      </c>
      <c r="N74" s="4"/>
      <c r="O74" s="4"/>
      <c r="P74" s="4">
        <v>36829.72</v>
      </c>
      <c r="Q74" s="41">
        <v>30747.37</v>
      </c>
      <c r="R74" s="41">
        <v>15299.68</v>
      </c>
      <c r="S74" s="41">
        <v>15299.68</v>
      </c>
    </row>
    <row r="75" spans="1:19" s="23" customFormat="1" ht="19.399999999999999" customHeight="1" x14ac:dyDescent="0.35">
      <c r="A75" s="12">
        <v>57</v>
      </c>
      <c r="B75" s="1" t="s">
        <v>32</v>
      </c>
      <c r="C75" s="4">
        <v>49085</v>
      </c>
      <c r="D75" s="4">
        <v>35735</v>
      </c>
      <c r="E75" s="33"/>
      <c r="F75" s="4">
        <v>45300</v>
      </c>
      <c r="G75" s="4">
        <v>0</v>
      </c>
      <c r="H75" s="4"/>
      <c r="I75" s="27">
        <v>69710</v>
      </c>
      <c r="J75" s="4">
        <v>26900</v>
      </c>
      <c r="L75" s="27">
        <v>26900</v>
      </c>
      <c r="M75" s="4">
        <v>19805.400000000001</v>
      </c>
      <c r="N75" s="4">
        <v>21324.6</v>
      </c>
      <c r="O75" s="4">
        <v>10662.3</v>
      </c>
      <c r="P75" s="4"/>
      <c r="Q75" s="41"/>
      <c r="R75" s="41"/>
      <c r="S75" s="41"/>
    </row>
    <row r="76" spans="1:19" s="23" customFormat="1" x14ac:dyDescent="0.35">
      <c r="A76" s="12">
        <v>58</v>
      </c>
      <c r="B76" s="1" t="s">
        <v>175</v>
      </c>
      <c r="C76" s="11"/>
      <c r="D76" s="11"/>
      <c r="E76" s="32"/>
      <c r="F76" s="2">
        <v>11178</v>
      </c>
      <c r="G76" s="2">
        <v>11178</v>
      </c>
      <c r="H76" s="2"/>
      <c r="I76" s="27"/>
      <c r="J76" s="2"/>
      <c r="L76" s="27"/>
      <c r="M76" s="2"/>
      <c r="N76" s="2"/>
      <c r="O76" s="2"/>
      <c r="P76" s="2"/>
      <c r="Q76" s="48"/>
      <c r="R76" s="41"/>
      <c r="S76" s="41"/>
    </row>
    <row r="77" spans="1:19" s="23" customFormat="1" x14ac:dyDescent="0.35">
      <c r="A77" s="12">
        <v>59</v>
      </c>
      <c r="B77" s="1" t="s">
        <v>226</v>
      </c>
      <c r="C77" s="4">
        <v>14540</v>
      </c>
      <c r="D77" s="4">
        <v>11030</v>
      </c>
      <c r="E77" s="33"/>
      <c r="F77" s="4"/>
      <c r="G77" s="4"/>
      <c r="H77" s="4"/>
      <c r="I77" s="27">
        <v>4740</v>
      </c>
      <c r="J77" s="4">
        <v>1000</v>
      </c>
      <c r="L77" s="27"/>
      <c r="M77" s="4"/>
      <c r="N77" s="4">
        <v>1792.8</v>
      </c>
      <c r="O77" s="4">
        <v>1792.8</v>
      </c>
      <c r="P77" s="4"/>
      <c r="Q77" s="41"/>
      <c r="R77" s="41">
        <v>55560</v>
      </c>
      <c r="S77" s="41">
        <v>28826.560000000001</v>
      </c>
    </row>
    <row r="78" spans="1:19" s="23" customFormat="1" x14ac:dyDescent="0.35">
      <c r="A78" s="12">
        <v>60</v>
      </c>
      <c r="B78" s="1" t="s">
        <v>33</v>
      </c>
      <c r="C78" s="4">
        <v>171104.2</v>
      </c>
      <c r="D78" s="4">
        <v>74629</v>
      </c>
      <c r="E78" s="33"/>
      <c r="F78" s="4">
        <v>63795.6</v>
      </c>
      <c r="G78" s="4">
        <v>4995</v>
      </c>
      <c r="H78" s="4"/>
      <c r="I78" s="27">
        <v>116478</v>
      </c>
      <c r="J78" s="4">
        <v>62095.55</v>
      </c>
      <c r="L78" s="27">
        <v>85161.24</v>
      </c>
      <c r="M78" s="4">
        <v>67584.95</v>
      </c>
      <c r="N78" s="4">
        <v>137646</v>
      </c>
      <c r="O78" s="4">
        <v>60189.64</v>
      </c>
      <c r="P78" s="4"/>
      <c r="Q78" s="41"/>
      <c r="R78" s="41"/>
      <c r="S78" s="41"/>
    </row>
    <row r="79" spans="1:19" s="23" customFormat="1" x14ac:dyDescent="0.35">
      <c r="A79" s="12">
        <v>61</v>
      </c>
      <c r="B79" s="1" t="s">
        <v>34</v>
      </c>
      <c r="C79" s="4">
        <v>31183.08</v>
      </c>
      <c r="D79" s="4">
        <v>4500</v>
      </c>
      <c r="E79" s="33"/>
      <c r="F79" s="4">
        <v>98982.82</v>
      </c>
      <c r="G79" s="4">
        <v>0</v>
      </c>
      <c r="H79" s="4"/>
      <c r="I79" s="27">
        <v>197586</v>
      </c>
      <c r="J79" s="4">
        <v>80982.559999999998</v>
      </c>
      <c r="L79" s="27">
        <v>41396.400000000001</v>
      </c>
      <c r="M79" s="4">
        <v>40722.75</v>
      </c>
      <c r="N79" s="4">
        <v>37256.76</v>
      </c>
      <c r="O79" s="4">
        <v>37256.76</v>
      </c>
      <c r="P79" s="4">
        <v>84868</v>
      </c>
      <c r="Q79" s="41">
        <v>42434</v>
      </c>
      <c r="R79" s="41">
        <v>41501.24</v>
      </c>
      <c r="S79" s="41">
        <v>41501.24</v>
      </c>
    </row>
    <row r="80" spans="1:19" s="23" customFormat="1" x14ac:dyDescent="0.35">
      <c r="A80" s="12">
        <v>62</v>
      </c>
      <c r="B80" s="1" t="s">
        <v>176</v>
      </c>
      <c r="C80" s="11"/>
      <c r="D80" s="11"/>
      <c r="E80" s="32"/>
      <c r="F80" s="2">
        <v>6611.96</v>
      </c>
      <c r="G80" s="2">
        <v>4205</v>
      </c>
      <c r="H80" s="2"/>
      <c r="I80" s="27"/>
      <c r="J80" s="2"/>
      <c r="L80" s="27"/>
      <c r="M80" s="2"/>
      <c r="N80" s="2">
        <v>4316.43</v>
      </c>
      <c r="O80" s="2">
        <v>4316.43</v>
      </c>
      <c r="P80" s="2"/>
      <c r="Q80" s="48"/>
      <c r="R80" s="41"/>
      <c r="S80" s="41"/>
    </row>
    <row r="81" spans="1:19" s="23" customFormat="1" x14ac:dyDescent="0.35">
      <c r="A81" s="12">
        <v>63</v>
      </c>
      <c r="B81" s="1" t="s">
        <v>35</v>
      </c>
      <c r="C81" s="4">
        <v>2277</v>
      </c>
      <c r="D81" s="4">
        <v>2277</v>
      </c>
      <c r="E81" s="33"/>
      <c r="F81" s="4"/>
      <c r="G81" s="4"/>
      <c r="H81" s="4"/>
      <c r="I81" s="27"/>
      <c r="J81" s="4"/>
      <c r="L81" s="27"/>
      <c r="M81" s="4"/>
      <c r="N81" s="4"/>
      <c r="O81" s="4"/>
      <c r="P81" s="4"/>
      <c r="Q81" s="41"/>
      <c r="R81" s="41"/>
      <c r="S81" s="41"/>
    </row>
    <row r="82" spans="1:19" s="23" customFormat="1" x14ac:dyDescent="0.35">
      <c r="A82" s="12">
        <v>64</v>
      </c>
      <c r="B82" s="1" t="s">
        <v>36</v>
      </c>
      <c r="C82" s="4">
        <v>6877.3</v>
      </c>
      <c r="D82" s="4">
        <v>6238</v>
      </c>
      <c r="E82" s="33"/>
      <c r="F82" s="4"/>
      <c r="G82" s="4"/>
      <c r="H82" s="4"/>
      <c r="I82" s="27">
        <v>7860</v>
      </c>
      <c r="J82" s="4">
        <v>7860</v>
      </c>
      <c r="L82" s="27"/>
      <c r="M82" s="4"/>
      <c r="N82" s="4"/>
      <c r="O82" s="4"/>
      <c r="P82" s="4"/>
      <c r="Q82" s="41"/>
      <c r="R82" s="41">
        <v>17885</v>
      </c>
      <c r="S82" s="41">
        <v>15935</v>
      </c>
    </row>
    <row r="83" spans="1:19" s="23" customFormat="1" x14ac:dyDescent="0.35">
      <c r="A83" s="12">
        <v>65</v>
      </c>
      <c r="B83" s="1" t="s">
        <v>265</v>
      </c>
      <c r="C83" s="4"/>
      <c r="D83" s="4"/>
      <c r="E83" s="33"/>
      <c r="F83" s="4"/>
      <c r="G83" s="4"/>
      <c r="H83" s="4"/>
      <c r="I83" s="27"/>
      <c r="J83" s="4"/>
      <c r="L83" s="27">
        <v>79022.38</v>
      </c>
      <c r="M83" s="4">
        <v>66477.69</v>
      </c>
      <c r="N83" s="4"/>
      <c r="O83" s="4"/>
      <c r="P83" s="4">
        <v>19044.46</v>
      </c>
      <c r="Q83" s="41">
        <v>19044.46</v>
      </c>
      <c r="R83" s="41"/>
      <c r="S83" s="41"/>
    </row>
    <row r="84" spans="1:19" s="23" customFormat="1" x14ac:dyDescent="0.35">
      <c r="A84" s="12">
        <v>66</v>
      </c>
      <c r="B84" s="1" t="s">
        <v>212</v>
      </c>
      <c r="C84" s="11"/>
      <c r="D84" s="11"/>
      <c r="E84" s="32"/>
      <c r="F84" s="2">
        <v>132847.9</v>
      </c>
      <c r="G84" s="2">
        <v>112011.27</v>
      </c>
      <c r="H84" s="2"/>
      <c r="I84" s="27"/>
      <c r="J84" s="2"/>
      <c r="L84" s="27">
        <v>7544.99</v>
      </c>
      <c r="M84" s="2">
        <v>4819.99</v>
      </c>
      <c r="N84" s="2"/>
      <c r="O84" s="2"/>
      <c r="P84" s="2"/>
      <c r="Q84" s="48"/>
      <c r="R84" s="41"/>
      <c r="S84" s="41"/>
    </row>
    <row r="85" spans="1:19" s="23" customFormat="1" x14ac:dyDescent="0.35">
      <c r="A85" s="12">
        <v>67</v>
      </c>
      <c r="B85" s="1" t="s">
        <v>177</v>
      </c>
      <c r="C85" s="11"/>
      <c r="D85" s="11"/>
      <c r="E85" s="32"/>
      <c r="F85" s="2">
        <v>2799.92</v>
      </c>
      <c r="G85" s="2">
        <v>2799.92</v>
      </c>
      <c r="H85" s="2"/>
      <c r="I85" s="27"/>
      <c r="J85" s="2"/>
      <c r="L85" s="27"/>
      <c r="M85" s="2"/>
      <c r="N85" s="2"/>
      <c r="O85" s="2"/>
      <c r="P85" s="2"/>
      <c r="Q85" s="48"/>
      <c r="R85" s="41"/>
      <c r="S85" s="41"/>
    </row>
    <row r="86" spans="1:19" s="23" customFormat="1" x14ac:dyDescent="0.35">
      <c r="A86" s="12">
        <v>68</v>
      </c>
      <c r="B86" s="1" t="s">
        <v>287</v>
      </c>
      <c r="C86" s="11"/>
      <c r="D86" s="11"/>
      <c r="E86" s="32"/>
      <c r="F86" s="2"/>
      <c r="G86" s="2"/>
      <c r="H86" s="2"/>
      <c r="I86" s="27"/>
      <c r="J86" s="2"/>
      <c r="L86" s="27"/>
      <c r="M86" s="2"/>
      <c r="N86" s="2"/>
      <c r="O86" s="2"/>
      <c r="P86" s="2">
        <v>9436</v>
      </c>
      <c r="Q86" s="48">
        <v>7856</v>
      </c>
      <c r="R86" s="41"/>
      <c r="S86" s="41"/>
    </row>
    <row r="87" spans="1:19" s="23" customFormat="1" x14ac:dyDescent="0.35">
      <c r="A87" s="12">
        <v>69</v>
      </c>
      <c r="B87" s="1" t="s">
        <v>178</v>
      </c>
      <c r="C87" s="11"/>
      <c r="D87" s="11"/>
      <c r="E87" s="32"/>
      <c r="F87" s="2">
        <v>142792.25</v>
      </c>
      <c r="G87" s="2">
        <v>137825</v>
      </c>
      <c r="H87" s="2"/>
      <c r="I87" s="27"/>
      <c r="J87" s="2"/>
      <c r="L87" s="27"/>
      <c r="M87" s="2"/>
      <c r="N87" s="2"/>
      <c r="O87" s="2"/>
      <c r="P87" s="2"/>
      <c r="Q87" s="48"/>
      <c r="R87" s="41">
        <v>23538</v>
      </c>
      <c r="S87" s="41">
        <v>23538</v>
      </c>
    </row>
    <row r="88" spans="1:19" s="23" customFormat="1" ht="17.899999999999999" customHeight="1" x14ac:dyDescent="0.35">
      <c r="A88" s="12">
        <v>70</v>
      </c>
      <c r="B88" s="1" t="s">
        <v>37</v>
      </c>
      <c r="C88" s="4">
        <v>20047</v>
      </c>
      <c r="D88" s="4">
        <v>14400</v>
      </c>
      <c r="E88" s="33"/>
      <c r="F88" s="4"/>
      <c r="G88" s="4"/>
      <c r="H88" s="4"/>
      <c r="I88" s="27"/>
      <c r="J88" s="4"/>
      <c r="L88" s="27"/>
      <c r="M88" s="4"/>
      <c r="N88" s="4"/>
      <c r="O88" s="4"/>
      <c r="P88" s="4">
        <v>75725</v>
      </c>
      <c r="Q88" s="41">
        <v>65425</v>
      </c>
      <c r="R88" s="41">
        <v>11425</v>
      </c>
      <c r="S88" s="41">
        <v>11425</v>
      </c>
    </row>
    <row r="89" spans="1:19" s="23" customFormat="1" x14ac:dyDescent="0.35">
      <c r="A89" s="12">
        <v>71</v>
      </c>
      <c r="B89" s="1" t="s">
        <v>38</v>
      </c>
      <c r="C89" s="4">
        <v>118980.25</v>
      </c>
      <c r="D89" s="33">
        <v>56400</v>
      </c>
      <c r="E89" s="33"/>
      <c r="F89" s="4"/>
      <c r="G89" s="4"/>
      <c r="H89" s="4"/>
      <c r="I89" s="27"/>
      <c r="J89" s="4"/>
      <c r="L89" s="27"/>
      <c r="M89" s="4"/>
      <c r="N89" s="4"/>
      <c r="O89" s="4"/>
      <c r="P89" s="4"/>
      <c r="Q89" s="41"/>
      <c r="R89" s="41"/>
      <c r="S89" s="41"/>
    </row>
    <row r="90" spans="1:19" s="23" customFormat="1" x14ac:dyDescent="0.35">
      <c r="A90" s="12">
        <v>72</v>
      </c>
      <c r="B90" s="1" t="s">
        <v>39</v>
      </c>
      <c r="C90" s="4">
        <v>2921</v>
      </c>
      <c r="D90" s="4">
        <v>2921</v>
      </c>
      <c r="E90" s="33"/>
      <c r="F90" s="4"/>
      <c r="G90" s="4"/>
      <c r="H90" s="4"/>
      <c r="I90" s="27"/>
      <c r="J90" s="4"/>
      <c r="L90" s="27"/>
      <c r="M90" s="4"/>
      <c r="N90" s="4"/>
      <c r="O90" s="4"/>
      <c r="P90" s="4"/>
      <c r="Q90" s="41"/>
      <c r="R90" s="41">
        <v>24708.48</v>
      </c>
      <c r="S90" s="41">
        <v>9103.2800000000007</v>
      </c>
    </row>
    <row r="91" spans="1:19" s="23" customFormat="1" x14ac:dyDescent="0.35">
      <c r="A91" s="12">
        <v>73</v>
      </c>
      <c r="B91" s="1" t="s">
        <v>40</v>
      </c>
      <c r="C91" s="4">
        <v>46013.54</v>
      </c>
      <c r="D91" s="4">
        <v>20400</v>
      </c>
      <c r="E91" s="33"/>
      <c r="F91" s="4"/>
      <c r="G91" s="4"/>
      <c r="H91" s="4"/>
      <c r="I91" s="27"/>
      <c r="J91" s="4"/>
      <c r="L91" s="27"/>
      <c r="M91" s="4"/>
      <c r="N91" s="4"/>
      <c r="O91" s="4"/>
      <c r="P91" s="4"/>
      <c r="Q91" s="41"/>
      <c r="R91" s="41"/>
      <c r="S91" s="41"/>
    </row>
    <row r="92" spans="1:19" s="23" customFormat="1" x14ac:dyDescent="0.35">
      <c r="A92" s="12">
        <v>74</v>
      </c>
      <c r="B92" s="1" t="s">
        <v>179</v>
      </c>
      <c r="C92" s="11"/>
      <c r="D92" s="11"/>
      <c r="E92" s="32"/>
      <c r="F92" s="2">
        <v>42115.199999999997</v>
      </c>
      <c r="G92" s="2">
        <v>37500</v>
      </c>
      <c r="H92" s="2"/>
      <c r="I92" s="27">
        <v>34321.32</v>
      </c>
      <c r="J92" s="2">
        <v>33796.32</v>
      </c>
      <c r="L92" s="27">
        <v>16898.16</v>
      </c>
      <c r="M92" s="2">
        <v>16898.16</v>
      </c>
      <c r="N92" s="2"/>
      <c r="O92" s="2"/>
      <c r="P92" s="2"/>
      <c r="Q92" s="48"/>
      <c r="R92" s="41">
        <v>56696.31</v>
      </c>
      <c r="S92" s="41">
        <v>49810.21</v>
      </c>
    </row>
    <row r="93" spans="1:19" s="23" customFormat="1" x14ac:dyDescent="0.35">
      <c r="A93" s="12">
        <v>75</v>
      </c>
      <c r="B93" s="1" t="s">
        <v>296</v>
      </c>
      <c r="C93" s="11"/>
      <c r="D93" s="11"/>
      <c r="E93" s="32"/>
      <c r="F93" s="2"/>
      <c r="G93" s="2"/>
      <c r="H93" s="2"/>
      <c r="I93" s="27"/>
      <c r="J93" s="2"/>
      <c r="L93" s="27"/>
      <c r="M93" s="2"/>
      <c r="N93" s="2"/>
      <c r="O93" s="2"/>
      <c r="P93" s="2"/>
      <c r="Q93" s="48"/>
      <c r="R93" s="2">
        <v>38025</v>
      </c>
      <c r="S93" s="48">
        <v>35685</v>
      </c>
    </row>
    <row r="94" spans="1:19" s="23" customFormat="1" x14ac:dyDescent="0.35">
      <c r="A94" s="12">
        <v>76</v>
      </c>
      <c r="B94" s="1" t="s">
        <v>41</v>
      </c>
      <c r="C94" s="4">
        <v>29189</v>
      </c>
      <c r="D94" s="4">
        <v>18088</v>
      </c>
      <c r="E94" s="33"/>
      <c r="F94" s="4"/>
      <c r="G94" s="4"/>
      <c r="H94" s="4"/>
      <c r="I94" s="27"/>
      <c r="J94" s="4"/>
      <c r="L94" s="27">
        <v>3075</v>
      </c>
      <c r="M94" s="4">
        <v>2625</v>
      </c>
      <c r="N94" s="4"/>
      <c r="O94" s="4"/>
      <c r="P94" s="4">
        <v>2625</v>
      </c>
      <c r="Q94" s="41">
        <v>2625</v>
      </c>
      <c r="R94" s="48">
        <v>2597.6</v>
      </c>
      <c r="S94" s="48">
        <v>2402.6</v>
      </c>
    </row>
    <row r="95" spans="1:19" s="23" customFormat="1" x14ac:dyDescent="0.35">
      <c r="A95" s="12">
        <v>77</v>
      </c>
      <c r="B95" s="1" t="s">
        <v>42</v>
      </c>
      <c r="C95" s="4">
        <v>2101.59</v>
      </c>
      <c r="D95" s="4">
        <v>2101.59</v>
      </c>
      <c r="E95" s="33"/>
      <c r="F95" s="4"/>
      <c r="G95" s="4"/>
      <c r="H95" s="4"/>
      <c r="I95" s="27"/>
      <c r="J95" s="4"/>
      <c r="L95" s="27"/>
      <c r="M95" s="4"/>
      <c r="N95" s="4"/>
      <c r="O95" s="4"/>
      <c r="P95" s="4">
        <v>2447.06</v>
      </c>
      <c r="Q95" s="41">
        <v>2447.06</v>
      </c>
      <c r="R95" s="48"/>
      <c r="S95" s="48"/>
    </row>
    <row r="96" spans="1:19" s="23" customFormat="1" x14ac:dyDescent="0.35">
      <c r="A96" s="12">
        <v>78</v>
      </c>
      <c r="B96" s="1" t="s">
        <v>256</v>
      </c>
      <c r="C96" s="4"/>
      <c r="D96" s="4"/>
      <c r="E96" s="33"/>
      <c r="F96" s="4"/>
      <c r="G96" s="4"/>
      <c r="H96" s="4"/>
      <c r="I96" s="27">
        <v>1000</v>
      </c>
      <c r="J96" s="4">
        <v>1000</v>
      </c>
      <c r="L96" s="27">
        <v>1500</v>
      </c>
      <c r="M96" s="4">
        <v>1500</v>
      </c>
      <c r="N96" s="4"/>
      <c r="O96" s="4"/>
      <c r="P96" s="4">
        <v>3000</v>
      </c>
      <c r="Q96" s="41">
        <v>3000</v>
      </c>
      <c r="R96" s="48">
        <v>3000</v>
      </c>
      <c r="S96" s="48">
        <v>3000</v>
      </c>
    </row>
    <row r="97" spans="1:19" s="23" customFormat="1" x14ac:dyDescent="0.35">
      <c r="A97" s="12">
        <v>79</v>
      </c>
      <c r="B97" s="1" t="s">
        <v>217</v>
      </c>
      <c r="C97" s="11"/>
      <c r="D97" s="11"/>
      <c r="E97" s="32"/>
      <c r="F97" s="2">
        <v>136938</v>
      </c>
      <c r="G97" s="2">
        <v>51072.61</v>
      </c>
      <c r="H97" s="2"/>
      <c r="I97" s="27"/>
      <c r="J97" s="2"/>
      <c r="L97" s="27"/>
      <c r="M97" s="2"/>
      <c r="N97" s="2"/>
      <c r="O97" s="2"/>
      <c r="P97" s="2"/>
      <c r="Q97" s="48"/>
      <c r="R97" s="48"/>
      <c r="S97" s="48"/>
    </row>
    <row r="98" spans="1:19" s="23" customFormat="1" x14ac:dyDescent="0.35">
      <c r="A98" s="12">
        <v>80</v>
      </c>
      <c r="B98" s="1" t="s">
        <v>43</v>
      </c>
      <c r="C98" s="4">
        <v>7174.9</v>
      </c>
      <c r="D98" s="4">
        <v>4600</v>
      </c>
      <c r="E98" s="33"/>
      <c r="F98" s="4"/>
      <c r="G98" s="4"/>
      <c r="H98" s="4"/>
      <c r="I98" s="27"/>
      <c r="J98" s="4"/>
      <c r="L98" s="27"/>
      <c r="M98" s="4"/>
      <c r="N98" s="4"/>
      <c r="O98" s="4"/>
      <c r="P98" s="4"/>
      <c r="Q98" s="41"/>
      <c r="R98" s="48"/>
      <c r="S98" s="48"/>
    </row>
    <row r="99" spans="1:19" s="23" customFormat="1" x14ac:dyDescent="0.35">
      <c r="A99" s="12">
        <v>81</v>
      </c>
      <c r="B99" s="1" t="s">
        <v>180</v>
      </c>
      <c r="C99" s="11"/>
      <c r="D99" s="11"/>
      <c r="E99" s="32"/>
      <c r="F99" s="2">
        <v>3096</v>
      </c>
      <c r="G99" s="2">
        <v>2025</v>
      </c>
      <c r="H99" s="2"/>
      <c r="I99" s="27"/>
      <c r="J99" s="2"/>
      <c r="L99" s="27"/>
      <c r="M99" s="2"/>
      <c r="N99" s="2"/>
      <c r="O99" s="2"/>
      <c r="P99" s="2"/>
      <c r="Q99" s="48"/>
      <c r="R99" s="48">
        <v>7444.4</v>
      </c>
      <c r="S99" s="48">
        <v>6107</v>
      </c>
    </row>
    <row r="100" spans="1:19" s="23" customFormat="1" x14ac:dyDescent="0.35">
      <c r="A100" s="12">
        <v>82</v>
      </c>
      <c r="B100" s="1" t="s">
        <v>156</v>
      </c>
      <c r="C100" s="4">
        <v>2115</v>
      </c>
      <c r="D100" s="4">
        <v>1725</v>
      </c>
      <c r="E100" s="33"/>
      <c r="F100" s="4"/>
      <c r="G100" s="4"/>
      <c r="H100" s="4"/>
      <c r="I100" s="27"/>
      <c r="J100" s="4"/>
      <c r="L100" s="27"/>
      <c r="M100" s="4"/>
      <c r="N100" s="4"/>
      <c r="O100" s="4"/>
      <c r="P100" s="4"/>
      <c r="Q100" s="41"/>
      <c r="R100" s="48"/>
      <c r="S100" s="48"/>
    </row>
    <row r="101" spans="1:19" s="23" customFormat="1" x14ac:dyDescent="0.35">
      <c r="A101" s="12">
        <v>83</v>
      </c>
      <c r="B101" s="1" t="s">
        <v>213</v>
      </c>
      <c r="C101" s="11"/>
      <c r="D101" s="11"/>
      <c r="E101" s="32"/>
      <c r="F101" s="2">
        <v>5914</v>
      </c>
      <c r="G101" s="2">
        <v>5914</v>
      </c>
      <c r="H101" s="2"/>
      <c r="I101" s="27">
        <v>5919</v>
      </c>
      <c r="J101" s="2">
        <v>5919</v>
      </c>
      <c r="L101" s="27">
        <v>7148.04</v>
      </c>
      <c r="M101" s="2">
        <v>7148.04</v>
      </c>
      <c r="N101" s="2">
        <v>6826.2</v>
      </c>
      <c r="O101" s="2">
        <v>6826.2</v>
      </c>
      <c r="P101" s="2"/>
      <c r="Q101" s="48"/>
      <c r="R101" s="48">
        <v>16459.349999999999</v>
      </c>
      <c r="S101" s="48">
        <v>16459.349999999999</v>
      </c>
    </row>
    <row r="102" spans="1:19" s="23" customFormat="1" x14ac:dyDescent="0.35">
      <c r="A102" s="12">
        <v>84</v>
      </c>
      <c r="B102" s="1" t="s">
        <v>288</v>
      </c>
      <c r="C102" s="11"/>
      <c r="D102" s="11"/>
      <c r="E102" s="32"/>
      <c r="F102" s="2"/>
      <c r="G102" s="2"/>
      <c r="H102" s="2"/>
      <c r="I102" s="27"/>
      <c r="J102" s="2"/>
      <c r="L102" s="27"/>
      <c r="M102" s="2"/>
      <c r="N102" s="2"/>
      <c r="O102" s="2"/>
      <c r="P102" s="2">
        <v>3035</v>
      </c>
      <c r="Q102" s="48">
        <v>3035</v>
      </c>
      <c r="R102" s="48"/>
      <c r="S102" s="48"/>
    </row>
    <row r="103" spans="1:19" s="23" customFormat="1" x14ac:dyDescent="0.35">
      <c r="A103" s="12">
        <v>85</v>
      </c>
      <c r="B103" s="1" t="s">
        <v>181</v>
      </c>
      <c r="C103" s="11"/>
      <c r="D103" s="11"/>
      <c r="E103" s="32"/>
      <c r="F103" s="2">
        <v>5049.7</v>
      </c>
      <c r="G103" s="2">
        <v>5049.7</v>
      </c>
      <c r="H103" s="2"/>
      <c r="I103" s="27"/>
      <c r="J103" s="2"/>
      <c r="L103" s="27">
        <v>3708.76</v>
      </c>
      <c r="M103" s="2">
        <v>2772.1</v>
      </c>
      <c r="N103" s="2"/>
      <c r="O103" s="2"/>
      <c r="P103" s="2"/>
      <c r="Q103" s="48"/>
      <c r="R103" s="48"/>
      <c r="S103" s="48"/>
    </row>
    <row r="104" spans="1:19" s="23" customFormat="1" x14ac:dyDescent="0.35">
      <c r="A104" s="12">
        <v>86</v>
      </c>
      <c r="B104" s="1" t="s">
        <v>182</v>
      </c>
      <c r="C104" s="11"/>
      <c r="D104" s="11"/>
      <c r="E104" s="32"/>
      <c r="F104" s="2">
        <v>42886.6</v>
      </c>
      <c r="G104" s="2">
        <v>40417.86</v>
      </c>
      <c r="H104" s="2"/>
      <c r="I104" s="27"/>
      <c r="J104" s="2"/>
      <c r="L104" s="27"/>
      <c r="M104" s="2"/>
      <c r="N104" s="2"/>
      <c r="O104" s="2"/>
      <c r="P104" s="2"/>
      <c r="Q104" s="48"/>
      <c r="R104" s="48">
        <v>12640.32</v>
      </c>
      <c r="S104" s="48">
        <v>12640.32</v>
      </c>
    </row>
    <row r="105" spans="1:19" s="23" customFormat="1" x14ac:dyDescent="0.35">
      <c r="A105" s="12">
        <v>87</v>
      </c>
      <c r="B105" s="1" t="s">
        <v>218</v>
      </c>
      <c r="C105" s="11"/>
      <c r="D105" s="11"/>
      <c r="E105" s="32"/>
      <c r="F105" s="2">
        <v>29921.15</v>
      </c>
      <c r="G105" s="2">
        <v>29921.15</v>
      </c>
      <c r="H105" s="2"/>
      <c r="I105" s="27"/>
      <c r="J105" s="2"/>
      <c r="L105" s="27">
        <v>21521</v>
      </c>
      <c r="M105" s="2">
        <v>21521</v>
      </c>
      <c r="N105" s="2">
        <v>9969</v>
      </c>
      <c r="O105" s="2">
        <v>9969</v>
      </c>
      <c r="P105" s="2">
        <v>17747.52</v>
      </c>
      <c r="Q105" s="48">
        <v>17747.52</v>
      </c>
      <c r="R105" s="48"/>
      <c r="S105" s="48"/>
    </row>
    <row r="106" spans="1:19" s="23" customFormat="1" x14ac:dyDescent="0.35">
      <c r="A106" s="12">
        <v>88</v>
      </c>
      <c r="B106" s="1" t="s">
        <v>258</v>
      </c>
      <c r="C106" s="4">
        <v>114151</v>
      </c>
      <c r="D106" s="4">
        <v>114151</v>
      </c>
      <c r="E106" s="33"/>
      <c r="F106" s="4">
        <v>124024</v>
      </c>
      <c r="G106" s="4">
        <v>0</v>
      </c>
      <c r="H106" s="4"/>
      <c r="I106" s="27">
        <v>9350</v>
      </c>
      <c r="J106" s="4">
        <v>9350</v>
      </c>
      <c r="L106" s="27">
        <v>24722</v>
      </c>
      <c r="M106" s="4">
        <v>24722</v>
      </c>
      <c r="N106" s="4">
        <v>31490</v>
      </c>
      <c r="O106" s="4">
        <v>17228.72</v>
      </c>
      <c r="P106" s="4">
        <v>40347.279999999999</v>
      </c>
      <c r="Q106" s="41">
        <v>40347.279999999999</v>
      </c>
      <c r="R106" s="48">
        <v>42780</v>
      </c>
      <c r="S106" s="48">
        <v>42780</v>
      </c>
    </row>
    <row r="107" spans="1:19" s="23" customFormat="1" ht="28.3" x14ac:dyDescent="0.35">
      <c r="A107" s="12">
        <v>89</v>
      </c>
      <c r="B107" s="1" t="s">
        <v>0</v>
      </c>
      <c r="C107" s="4">
        <v>288832</v>
      </c>
      <c r="D107" s="4">
        <v>144416</v>
      </c>
      <c r="E107" s="33"/>
      <c r="F107" s="4">
        <v>100000</v>
      </c>
      <c r="G107" s="4">
        <v>0</v>
      </c>
      <c r="H107" s="4"/>
      <c r="I107" s="27">
        <v>150000</v>
      </c>
      <c r="J107" s="4">
        <v>20714.669999999998</v>
      </c>
      <c r="L107" s="27">
        <v>144058.57999999999</v>
      </c>
      <c r="M107" s="4">
        <v>32830.33</v>
      </c>
      <c r="N107" s="4">
        <v>69942.92</v>
      </c>
      <c r="O107" s="4">
        <v>959.88</v>
      </c>
      <c r="P107" s="4">
        <v>33491.93</v>
      </c>
      <c r="Q107" s="41" t="s">
        <v>289</v>
      </c>
      <c r="R107" s="48"/>
      <c r="S107" s="48"/>
    </row>
    <row r="108" spans="1:19" s="23" customFormat="1" x14ac:dyDescent="0.35">
      <c r="A108" s="12">
        <v>90</v>
      </c>
      <c r="B108" s="1" t="s">
        <v>219</v>
      </c>
      <c r="C108" s="11"/>
      <c r="D108" s="11"/>
      <c r="E108" s="32"/>
      <c r="F108" s="2">
        <v>3000</v>
      </c>
      <c r="G108" s="2">
        <v>3000</v>
      </c>
      <c r="H108" s="2"/>
      <c r="I108" s="27"/>
      <c r="J108" s="2"/>
      <c r="L108" s="27"/>
      <c r="M108" s="2"/>
      <c r="N108" s="2"/>
      <c r="O108" s="2"/>
      <c r="P108" s="2"/>
      <c r="Q108" s="48"/>
      <c r="R108" s="48"/>
      <c r="S108" s="48"/>
    </row>
    <row r="109" spans="1:19" s="23" customFormat="1" x14ac:dyDescent="0.35">
      <c r="A109" s="12">
        <v>91</v>
      </c>
      <c r="B109" s="1" t="s">
        <v>183</v>
      </c>
      <c r="C109" s="11"/>
      <c r="D109" s="11"/>
      <c r="E109" s="32"/>
      <c r="F109" s="2">
        <v>344041</v>
      </c>
      <c r="G109" s="2">
        <v>52800</v>
      </c>
      <c r="H109" s="2"/>
      <c r="I109" s="27"/>
      <c r="J109" s="2"/>
      <c r="L109" s="27"/>
      <c r="M109" s="2"/>
      <c r="N109" s="2">
        <v>474918.81</v>
      </c>
      <c r="O109" s="2">
        <v>60189.64</v>
      </c>
      <c r="P109" s="2"/>
      <c r="Q109" s="48"/>
      <c r="R109" s="48"/>
      <c r="S109" s="48"/>
    </row>
    <row r="110" spans="1:19" s="23" customFormat="1" x14ac:dyDescent="0.35">
      <c r="A110" s="12">
        <v>92</v>
      </c>
      <c r="B110" s="1" t="s">
        <v>158</v>
      </c>
      <c r="C110" s="4">
        <v>38017.56</v>
      </c>
      <c r="D110" s="33">
        <v>29083</v>
      </c>
      <c r="E110" s="33"/>
      <c r="F110" s="4">
        <v>16995.560000000001</v>
      </c>
      <c r="G110" s="4">
        <v>0</v>
      </c>
      <c r="H110" s="4"/>
      <c r="I110" s="27">
        <v>54426.2</v>
      </c>
      <c r="J110" s="4">
        <v>12038.16</v>
      </c>
      <c r="L110" s="27">
        <v>40899.120000000003</v>
      </c>
      <c r="M110" s="4">
        <v>18784.16</v>
      </c>
      <c r="N110" s="4">
        <v>15029.22</v>
      </c>
      <c r="O110" s="4">
        <v>12074.82</v>
      </c>
      <c r="P110" s="4">
        <v>24293.24</v>
      </c>
      <c r="Q110" s="41">
        <v>17618.240000000002</v>
      </c>
      <c r="R110" s="48">
        <v>20044.54</v>
      </c>
      <c r="S110" s="48">
        <v>19094.54</v>
      </c>
    </row>
    <row r="111" spans="1:19" s="23" customFormat="1" x14ac:dyDescent="0.35">
      <c r="A111" s="12">
        <v>93</v>
      </c>
      <c r="B111" s="1" t="s">
        <v>44</v>
      </c>
      <c r="C111" s="4">
        <v>3324</v>
      </c>
      <c r="D111" s="4">
        <v>3156</v>
      </c>
      <c r="E111" s="33"/>
      <c r="F111" s="4">
        <v>3048</v>
      </c>
      <c r="G111" s="4">
        <v>0</v>
      </c>
      <c r="H111" s="4"/>
      <c r="I111" s="27"/>
      <c r="J111" s="4"/>
      <c r="L111" s="27"/>
      <c r="M111" s="4"/>
      <c r="N111" s="4"/>
      <c r="O111" s="4"/>
      <c r="P111" s="4"/>
      <c r="Q111" s="41"/>
      <c r="R111" s="48"/>
      <c r="S111" s="48"/>
    </row>
    <row r="112" spans="1:19" s="23" customFormat="1" x14ac:dyDescent="0.35">
      <c r="A112" s="12">
        <v>94</v>
      </c>
      <c r="B112" s="1" t="s">
        <v>45</v>
      </c>
      <c r="C112" s="4">
        <v>36000</v>
      </c>
      <c r="D112" s="4">
        <v>31600</v>
      </c>
      <c r="E112" s="33"/>
      <c r="F112" s="4">
        <v>44000</v>
      </c>
      <c r="G112" s="4">
        <v>0</v>
      </c>
      <c r="H112" s="4"/>
      <c r="I112" s="27"/>
      <c r="J112" s="4"/>
      <c r="L112" s="27">
        <v>11800</v>
      </c>
      <c r="M112" s="4">
        <v>11770.82</v>
      </c>
      <c r="N112" s="4"/>
      <c r="O112" s="4"/>
      <c r="P112" s="4"/>
      <c r="Q112" s="41"/>
      <c r="R112" s="48"/>
      <c r="S112" s="48"/>
    </row>
    <row r="113" spans="1:19" s="23" customFormat="1" x14ac:dyDescent="0.35">
      <c r="A113" s="12">
        <v>95</v>
      </c>
      <c r="B113" s="1" t="s">
        <v>46</v>
      </c>
      <c r="C113" s="4">
        <v>44000</v>
      </c>
      <c r="D113" s="4">
        <v>34400</v>
      </c>
      <c r="E113" s="33"/>
      <c r="F113" s="4">
        <v>24564</v>
      </c>
      <c r="G113" s="4">
        <v>0</v>
      </c>
      <c r="H113" s="4"/>
      <c r="I113" s="27">
        <v>26762.400000000001</v>
      </c>
      <c r="J113" s="4">
        <v>26762.400000000001</v>
      </c>
      <c r="L113" s="27">
        <v>23765.09</v>
      </c>
      <c r="M113" s="4">
        <v>23765.09</v>
      </c>
      <c r="N113" s="4">
        <v>26762.400000000001</v>
      </c>
      <c r="O113" s="4">
        <v>26762.400000000001</v>
      </c>
      <c r="P113" s="4"/>
      <c r="Q113" s="41"/>
      <c r="R113" s="48"/>
      <c r="S113" s="48"/>
    </row>
    <row r="114" spans="1:19" s="23" customFormat="1" x14ac:dyDescent="0.35">
      <c r="A114" s="12">
        <v>96</v>
      </c>
      <c r="B114" s="1" t="s">
        <v>184</v>
      </c>
      <c r="C114" s="11"/>
      <c r="D114" s="11"/>
      <c r="E114" s="32"/>
      <c r="F114" s="2">
        <v>19002.599999999999</v>
      </c>
      <c r="G114" s="2">
        <v>10387.6</v>
      </c>
      <c r="H114" s="2"/>
      <c r="I114" s="27"/>
      <c r="J114" s="2"/>
      <c r="L114" s="27">
        <v>100</v>
      </c>
      <c r="M114" s="2">
        <v>100</v>
      </c>
      <c r="N114" s="2"/>
      <c r="O114" s="2"/>
      <c r="P114" s="2"/>
      <c r="Q114" s="48"/>
      <c r="R114" s="48"/>
      <c r="S114" s="48"/>
    </row>
    <row r="115" spans="1:19" s="23" customFormat="1" x14ac:dyDescent="0.35">
      <c r="A115" s="12">
        <v>97</v>
      </c>
      <c r="B115" s="1" t="s">
        <v>185</v>
      </c>
      <c r="C115" s="11"/>
      <c r="D115" s="11"/>
      <c r="E115" s="32"/>
      <c r="F115" s="2">
        <v>38395</v>
      </c>
      <c r="G115" s="2">
        <v>38395</v>
      </c>
      <c r="H115" s="2"/>
      <c r="I115" s="27">
        <v>4000</v>
      </c>
      <c r="J115" s="2">
        <v>2400</v>
      </c>
      <c r="L115" s="27"/>
      <c r="M115" s="2"/>
      <c r="N115" s="2"/>
      <c r="O115" s="2"/>
      <c r="P115" s="2"/>
      <c r="Q115" s="48"/>
      <c r="R115" s="48"/>
      <c r="S115" s="48"/>
    </row>
    <row r="116" spans="1:19" s="23" customFormat="1" x14ac:dyDescent="0.35">
      <c r="A116" s="12">
        <v>98</v>
      </c>
      <c r="B116" s="1" t="s">
        <v>47</v>
      </c>
      <c r="C116" s="4">
        <v>11531.3</v>
      </c>
      <c r="D116" s="4">
        <v>9938</v>
      </c>
      <c r="E116" s="33"/>
      <c r="F116" s="4"/>
      <c r="G116" s="4"/>
      <c r="H116" s="4"/>
      <c r="I116" s="27"/>
      <c r="J116" s="4"/>
      <c r="L116" s="27">
        <v>39611.14</v>
      </c>
      <c r="M116" s="4">
        <v>33330.639999999999</v>
      </c>
      <c r="N116" s="4"/>
      <c r="O116" s="4"/>
      <c r="P116" s="4"/>
      <c r="Q116" s="41"/>
      <c r="R116" s="48"/>
      <c r="S116" s="48"/>
    </row>
    <row r="117" spans="1:19" s="23" customFormat="1" x14ac:dyDescent="0.35">
      <c r="A117" s="12">
        <v>99</v>
      </c>
      <c r="B117" s="1" t="s">
        <v>254</v>
      </c>
      <c r="C117" s="11"/>
      <c r="D117" s="11"/>
      <c r="E117" s="32"/>
      <c r="F117" s="2"/>
      <c r="G117" s="2"/>
      <c r="H117" s="2"/>
      <c r="I117" s="27">
        <v>25579.62</v>
      </c>
      <c r="J117" s="2">
        <v>25579.62</v>
      </c>
      <c r="L117" s="27"/>
      <c r="M117" s="2"/>
      <c r="N117" s="2"/>
      <c r="O117" s="2"/>
      <c r="P117" s="2"/>
      <c r="Q117" s="48"/>
      <c r="R117" s="48"/>
      <c r="S117" s="48"/>
    </row>
    <row r="118" spans="1:19" s="23" customFormat="1" ht="28.3" x14ac:dyDescent="0.35">
      <c r="A118" s="12">
        <v>100</v>
      </c>
      <c r="B118" s="1" t="s">
        <v>220</v>
      </c>
      <c r="C118" s="11"/>
      <c r="D118" s="11"/>
      <c r="E118" s="32"/>
      <c r="F118" s="2">
        <v>66080.399999999994</v>
      </c>
      <c r="G118" s="2">
        <v>51072.61</v>
      </c>
      <c r="H118" s="2"/>
      <c r="I118" s="27"/>
      <c r="J118" s="2"/>
      <c r="L118" s="27">
        <v>15007</v>
      </c>
      <c r="M118" s="2">
        <v>15007</v>
      </c>
      <c r="N118" s="2"/>
      <c r="O118" s="2"/>
      <c r="P118" s="2">
        <v>12815.76</v>
      </c>
      <c r="Q118" s="41" t="s">
        <v>289</v>
      </c>
      <c r="R118" s="48">
        <v>7968</v>
      </c>
      <c r="S118" s="48">
        <v>7968</v>
      </c>
    </row>
    <row r="119" spans="1:19" s="23" customFormat="1" x14ac:dyDescent="0.35">
      <c r="A119" s="12">
        <v>101</v>
      </c>
      <c r="B119" s="1" t="s">
        <v>257</v>
      </c>
      <c r="C119" s="4"/>
      <c r="D119" s="4"/>
      <c r="E119" s="33"/>
      <c r="F119" s="4"/>
      <c r="G119" s="4"/>
      <c r="H119" s="4"/>
      <c r="I119" s="27">
        <v>17232</v>
      </c>
      <c r="J119" s="4">
        <v>17232</v>
      </c>
      <c r="L119" s="27">
        <v>9120</v>
      </c>
      <c r="M119" s="4">
        <v>9120</v>
      </c>
      <c r="N119" s="4">
        <v>20665.79</v>
      </c>
      <c r="O119" s="4">
        <v>17228.73</v>
      </c>
      <c r="P119" s="4">
        <v>14082.93</v>
      </c>
      <c r="Q119" s="41">
        <v>14082.93</v>
      </c>
      <c r="R119" s="48">
        <v>57600</v>
      </c>
      <c r="S119" s="48">
        <v>57600</v>
      </c>
    </row>
    <row r="120" spans="1:19" s="23" customFormat="1" x14ac:dyDescent="0.35">
      <c r="A120" s="12">
        <v>102</v>
      </c>
      <c r="B120" s="1" t="s">
        <v>223</v>
      </c>
      <c r="C120" s="4">
        <v>10259.629999999999</v>
      </c>
      <c r="D120" s="4">
        <v>10259.629999999999</v>
      </c>
      <c r="E120" s="33"/>
      <c r="F120" s="4">
        <v>6192</v>
      </c>
      <c r="G120" s="4">
        <v>0</v>
      </c>
      <c r="H120" s="4"/>
      <c r="I120" s="27"/>
      <c r="J120" s="4"/>
      <c r="L120" s="27">
        <v>6687.36</v>
      </c>
      <c r="M120" s="4">
        <v>6687.36</v>
      </c>
      <c r="N120" s="4"/>
      <c r="O120" s="4"/>
      <c r="P120" s="4">
        <v>6687.36</v>
      </c>
      <c r="Q120" s="41">
        <v>6687.36</v>
      </c>
      <c r="R120" s="48"/>
      <c r="S120" s="48"/>
    </row>
    <row r="121" spans="1:19" s="23" customFormat="1" x14ac:dyDescent="0.35">
      <c r="A121" s="12">
        <v>103</v>
      </c>
      <c r="B121" s="1" t="s">
        <v>48</v>
      </c>
      <c r="C121" s="4">
        <v>54080</v>
      </c>
      <c r="D121" s="4">
        <v>43556</v>
      </c>
      <c r="E121" s="33"/>
      <c r="F121" s="4"/>
      <c r="G121" s="4"/>
      <c r="H121" s="4"/>
      <c r="I121" s="27"/>
      <c r="J121" s="4"/>
      <c r="L121" s="27"/>
      <c r="M121" s="4"/>
      <c r="N121" s="4"/>
      <c r="O121" s="4"/>
      <c r="P121" s="4"/>
      <c r="Q121" s="41"/>
      <c r="R121" s="48"/>
      <c r="S121" s="48"/>
    </row>
    <row r="122" spans="1:19" s="23" customFormat="1" x14ac:dyDescent="0.35">
      <c r="A122" s="12">
        <v>104</v>
      </c>
      <c r="B122" s="1" t="s">
        <v>49</v>
      </c>
      <c r="C122" s="4">
        <v>4535</v>
      </c>
      <c r="D122" s="4">
        <v>3000</v>
      </c>
      <c r="E122" s="33"/>
      <c r="F122" s="4"/>
      <c r="G122" s="4"/>
      <c r="H122" s="4"/>
      <c r="I122" s="27">
        <v>5268.54</v>
      </c>
      <c r="J122" s="4">
        <v>2700</v>
      </c>
      <c r="L122" s="27"/>
      <c r="M122" s="4"/>
      <c r="N122" s="4"/>
      <c r="O122" s="4"/>
      <c r="P122" s="4">
        <v>2685</v>
      </c>
      <c r="Q122" s="41">
        <v>1800</v>
      </c>
      <c r="R122" s="48"/>
      <c r="S122" s="48"/>
    </row>
    <row r="123" spans="1:19" s="23" customFormat="1" x14ac:dyDescent="0.35">
      <c r="A123" s="12">
        <v>105</v>
      </c>
      <c r="B123" s="1" t="s">
        <v>50</v>
      </c>
      <c r="C123" s="4">
        <v>36500</v>
      </c>
      <c r="D123" s="4">
        <v>29875</v>
      </c>
      <c r="E123" s="33"/>
      <c r="F123" s="4"/>
      <c r="G123" s="4"/>
      <c r="H123" s="4"/>
      <c r="I123" s="27"/>
      <c r="J123" s="4"/>
      <c r="L123" s="27"/>
      <c r="M123" s="4"/>
      <c r="N123" s="4">
        <v>30972.39</v>
      </c>
      <c r="O123" s="4">
        <v>28159.89</v>
      </c>
      <c r="P123" s="4"/>
      <c r="Q123" s="41"/>
      <c r="R123" s="48">
        <v>8893.2000000000007</v>
      </c>
      <c r="S123" s="48">
        <v>8893.2000000000007</v>
      </c>
    </row>
    <row r="124" spans="1:19" s="23" customFormat="1" x14ac:dyDescent="0.35">
      <c r="A124" s="12">
        <v>106</v>
      </c>
      <c r="B124" s="1" t="s">
        <v>51</v>
      </c>
      <c r="C124" s="4">
        <v>37415</v>
      </c>
      <c r="D124" s="4">
        <v>20090</v>
      </c>
      <c r="E124" s="33"/>
      <c r="F124" s="4">
        <v>38258.65</v>
      </c>
      <c r="G124" s="4">
        <v>0</v>
      </c>
      <c r="H124" s="4"/>
      <c r="I124" s="27"/>
      <c r="J124" s="4"/>
      <c r="L124" s="27">
        <v>48582.94</v>
      </c>
      <c r="M124" s="4">
        <v>44143.39</v>
      </c>
      <c r="N124" s="4">
        <v>39011</v>
      </c>
      <c r="O124" s="4">
        <v>28087.5</v>
      </c>
      <c r="P124" s="4"/>
      <c r="Q124" s="41"/>
      <c r="R124" s="48"/>
      <c r="S124" s="48"/>
    </row>
    <row r="125" spans="1:19" s="23" customFormat="1" x14ac:dyDescent="0.35">
      <c r="A125" s="12">
        <v>107</v>
      </c>
      <c r="B125" s="1" t="s">
        <v>52</v>
      </c>
      <c r="C125" s="4">
        <v>53804.5</v>
      </c>
      <c r="D125" s="4">
        <v>39142</v>
      </c>
      <c r="E125" s="33"/>
      <c r="F125" s="4">
        <v>8541.2800000000007</v>
      </c>
      <c r="G125" s="4">
        <v>0</v>
      </c>
      <c r="H125" s="4"/>
      <c r="I125" s="27"/>
      <c r="J125" s="4"/>
      <c r="L125" s="27">
        <v>59270.400000000001</v>
      </c>
      <c r="M125" s="4">
        <v>25200</v>
      </c>
      <c r="N125" s="4"/>
      <c r="O125" s="4"/>
      <c r="P125" s="4"/>
      <c r="Q125" s="41"/>
      <c r="R125" s="48">
        <v>93637.38</v>
      </c>
      <c r="S125" s="48">
        <v>93637.38</v>
      </c>
    </row>
    <row r="126" spans="1:19" s="23" customFormat="1" x14ac:dyDescent="0.35">
      <c r="A126" s="12">
        <v>108</v>
      </c>
      <c r="B126" s="1" t="s">
        <v>53</v>
      </c>
      <c r="C126" s="4">
        <v>2900</v>
      </c>
      <c r="D126" s="4">
        <v>2300</v>
      </c>
      <c r="E126" s="33"/>
      <c r="F126" s="4"/>
      <c r="G126" s="4"/>
      <c r="H126" s="4"/>
      <c r="I126" s="27"/>
      <c r="J126" s="4"/>
      <c r="L126" s="27"/>
      <c r="M126" s="4"/>
      <c r="N126" s="4"/>
      <c r="O126" s="4"/>
      <c r="P126" s="4"/>
      <c r="Q126" s="41"/>
      <c r="R126" s="48"/>
      <c r="S126" s="48"/>
    </row>
    <row r="127" spans="1:19" s="23" customFormat="1" x14ac:dyDescent="0.35">
      <c r="A127" s="12">
        <v>109</v>
      </c>
      <c r="B127" s="1" t="s">
        <v>54</v>
      </c>
      <c r="C127" s="4">
        <v>710040</v>
      </c>
      <c r="D127" s="4">
        <v>135000</v>
      </c>
      <c r="E127" s="33"/>
      <c r="F127" s="4"/>
      <c r="G127" s="4"/>
      <c r="H127" s="4"/>
      <c r="I127" s="27">
        <v>108364</v>
      </c>
      <c r="J127" s="4">
        <v>62095.55</v>
      </c>
      <c r="L127" s="27">
        <v>88589.2</v>
      </c>
      <c r="M127" s="4">
        <v>67584.95</v>
      </c>
      <c r="N127" s="4">
        <v>20405</v>
      </c>
      <c r="O127" s="4">
        <v>7950</v>
      </c>
      <c r="P127" s="4">
        <v>394381.37</v>
      </c>
      <c r="Q127" s="41">
        <v>85146.51</v>
      </c>
      <c r="R127" s="48">
        <v>81916.800000000003</v>
      </c>
      <c r="S127" s="48">
        <v>81916.800000000003</v>
      </c>
    </row>
    <row r="128" spans="1:19" s="23" customFormat="1" x14ac:dyDescent="0.35">
      <c r="A128" s="12">
        <v>110</v>
      </c>
      <c r="B128" s="1" t="s">
        <v>55</v>
      </c>
      <c r="C128" s="4">
        <v>268828</v>
      </c>
      <c r="D128" s="4">
        <v>23376</v>
      </c>
      <c r="E128" s="33"/>
      <c r="F128" s="4">
        <v>1270821</v>
      </c>
      <c r="G128" s="4">
        <v>88380.62</v>
      </c>
      <c r="H128" s="4"/>
      <c r="I128" s="27">
        <v>581624.23</v>
      </c>
      <c r="J128" s="4">
        <v>62095.55</v>
      </c>
      <c r="L128" s="27">
        <v>228234.64</v>
      </c>
      <c r="M128" s="4">
        <v>67584.95</v>
      </c>
      <c r="N128" s="4"/>
      <c r="O128" s="4"/>
      <c r="P128" s="4">
        <v>247278</v>
      </c>
      <c r="Q128" s="41">
        <v>85146.51</v>
      </c>
      <c r="R128" s="48">
        <v>182881.8</v>
      </c>
      <c r="S128" s="48">
        <v>182881.8</v>
      </c>
    </row>
    <row r="129" spans="1:19" s="23" customFormat="1" ht="15" customHeight="1" x14ac:dyDescent="0.35">
      <c r="A129" s="12">
        <v>111</v>
      </c>
      <c r="B129" s="1" t="s">
        <v>242</v>
      </c>
      <c r="C129" s="4"/>
      <c r="D129" s="4"/>
      <c r="E129" s="33"/>
      <c r="F129" s="4"/>
      <c r="G129" s="4"/>
      <c r="H129" s="4"/>
      <c r="I129" s="27">
        <v>40650</v>
      </c>
      <c r="J129" s="4">
        <v>32250</v>
      </c>
      <c r="L129" s="27"/>
      <c r="M129" s="4"/>
      <c r="N129" s="4"/>
      <c r="O129" s="4"/>
      <c r="P129" s="4">
        <v>3093.8</v>
      </c>
      <c r="Q129" s="41">
        <v>2303.8000000000002</v>
      </c>
      <c r="R129" s="48"/>
      <c r="S129" s="48"/>
    </row>
    <row r="130" spans="1:19" s="23" customFormat="1" ht="15" customHeight="1" x14ac:dyDescent="0.35">
      <c r="A130" s="12">
        <v>112</v>
      </c>
      <c r="B130" s="1" t="s">
        <v>227</v>
      </c>
      <c r="C130" s="4">
        <v>22513.45</v>
      </c>
      <c r="D130" s="4">
        <v>10800</v>
      </c>
      <c r="E130" s="33"/>
      <c r="F130" s="4"/>
      <c r="G130" s="4"/>
      <c r="H130" s="4"/>
      <c r="I130" s="27"/>
      <c r="J130" s="4"/>
      <c r="L130" s="27"/>
      <c r="M130" s="4"/>
      <c r="N130" s="4"/>
      <c r="O130" s="4"/>
      <c r="P130" s="4"/>
      <c r="Q130" s="41"/>
      <c r="R130" s="48"/>
      <c r="S130" s="48"/>
    </row>
    <row r="131" spans="1:19" s="23" customFormat="1" x14ac:dyDescent="0.35">
      <c r="A131" s="12">
        <v>113</v>
      </c>
      <c r="B131" s="1" t="s">
        <v>56</v>
      </c>
      <c r="C131" s="4">
        <v>122844.23</v>
      </c>
      <c r="D131" s="8">
        <v>41647.949999999997</v>
      </c>
      <c r="E131" s="21"/>
      <c r="F131" s="4">
        <v>81196.28</v>
      </c>
      <c r="G131" s="4">
        <v>0</v>
      </c>
      <c r="H131" s="4"/>
      <c r="I131" s="27"/>
      <c r="J131" s="4"/>
      <c r="L131" s="27">
        <v>18029.5</v>
      </c>
      <c r="M131" s="4">
        <v>18029.5</v>
      </c>
      <c r="N131" s="4"/>
      <c r="O131" s="4"/>
      <c r="P131" s="4"/>
      <c r="Q131" s="41"/>
      <c r="R131" s="48"/>
      <c r="S131" s="48"/>
    </row>
    <row r="132" spans="1:19" s="23" customFormat="1" x14ac:dyDescent="0.35">
      <c r="A132" s="12">
        <v>114</v>
      </c>
      <c r="B132" s="1" t="s">
        <v>57</v>
      </c>
      <c r="C132" s="4">
        <v>275349.08</v>
      </c>
      <c r="D132" s="4">
        <v>225213.88</v>
      </c>
      <c r="E132" s="33"/>
      <c r="F132" s="4"/>
      <c r="G132" s="4"/>
      <c r="H132" s="4"/>
      <c r="I132" s="27">
        <v>67909</v>
      </c>
      <c r="J132" s="4">
        <v>24984.7</v>
      </c>
      <c r="L132" s="27">
        <v>49787.05</v>
      </c>
      <c r="M132" s="4">
        <v>13008.75</v>
      </c>
      <c r="N132" s="4"/>
      <c r="O132" s="4"/>
      <c r="P132" s="4"/>
      <c r="Q132" s="41"/>
      <c r="R132" s="48"/>
      <c r="S132" s="48"/>
    </row>
    <row r="133" spans="1:19" s="23" customFormat="1" ht="14.9" customHeight="1" x14ac:dyDescent="0.35">
      <c r="A133" s="12">
        <v>115</v>
      </c>
      <c r="B133" s="1" t="s">
        <v>58</v>
      </c>
      <c r="C133" s="4">
        <v>15943.75</v>
      </c>
      <c r="D133" s="4">
        <v>15943.75</v>
      </c>
      <c r="E133" s="33"/>
      <c r="F133" s="4"/>
      <c r="G133" s="4"/>
      <c r="H133" s="4"/>
      <c r="I133" s="27">
        <v>39116.75</v>
      </c>
      <c r="J133" s="4">
        <v>39116.75</v>
      </c>
      <c r="L133" s="27"/>
      <c r="M133" s="4"/>
      <c r="N133" s="4">
        <v>8029.05</v>
      </c>
      <c r="O133" s="4">
        <v>7032.63</v>
      </c>
      <c r="P133" s="4">
        <v>96947.18</v>
      </c>
      <c r="Q133" s="41">
        <v>82593.789999999994</v>
      </c>
      <c r="R133" s="48">
        <v>83602.55</v>
      </c>
      <c r="S133" s="48">
        <v>83602.55</v>
      </c>
    </row>
    <row r="134" spans="1:19" s="23" customFormat="1" x14ac:dyDescent="0.35">
      <c r="A134" s="12">
        <v>116</v>
      </c>
      <c r="B134" s="1" t="s">
        <v>59</v>
      </c>
      <c r="C134" s="4">
        <v>37500</v>
      </c>
      <c r="D134" s="4">
        <v>21700</v>
      </c>
      <c r="E134" s="33"/>
      <c r="F134" s="4"/>
      <c r="G134" s="4"/>
      <c r="H134" s="4"/>
      <c r="I134" s="27">
        <v>32191</v>
      </c>
      <c r="J134" s="4">
        <v>15501</v>
      </c>
      <c r="L134" s="27"/>
      <c r="M134" s="4"/>
      <c r="N134" s="4"/>
      <c r="O134" s="4"/>
      <c r="P134" s="4"/>
      <c r="Q134" s="41"/>
      <c r="R134" s="48"/>
      <c r="S134" s="48"/>
    </row>
    <row r="135" spans="1:19" s="23" customFormat="1" x14ac:dyDescent="0.35">
      <c r="A135" s="12">
        <v>117</v>
      </c>
      <c r="B135" s="1" t="s">
        <v>60</v>
      </c>
      <c r="C135" s="4">
        <v>16595</v>
      </c>
      <c r="D135" s="4">
        <v>7900</v>
      </c>
      <c r="E135" s="33"/>
      <c r="F135" s="4"/>
      <c r="G135" s="4"/>
      <c r="H135" s="4"/>
      <c r="I135" s="27"/>
      <c r="J135" s="4"/>
      <c r="L135" s="27"/>
      <c r="M135" s="4"/>
      <c r="N135" s="4"/>
      <c r="O135" s="4"/>
      <c r="P135" s="4"/>
      <c r="Q135" s="41"/>
      <c r="R135" s="48"/>
      <c r="S135" s="48"/>
    </row>
    <row r="136" spans="1:19" s="23" customFormat="1" x14ac:dyDescent="0.35">
      <c r="A136" s="12">
        <v>118</v>
      </c>
      <c r="B136" s="1" t="s">
        <v>61</v>
      </c>
      <c r="C136" s="4">
        <v>35458.1</v>
      </c>
      <c r="D136" s="4">
        <v>31066.16</v>
      </c>
      <c r="E136" s="33"/>
      <c r="F136" s="4">
        <v>22944.400000000001</v>
      </c>
      <c r="G136" s="4">
        <v>0</v>
      </c>
      <c r="H136" s="4"/>
      <c r="I136" s="27">
        <v>12585</v>
      </c>
      <c r="J136" s="4">
        <v>12585</v>
      </c>
      <c r="L136" s="27">
        <v>6993</v>
      </c>
      <c r="M136" s="4">
        <v>6993</v>
      </c>
      <c r="N136" s="4">
        <v>10522.19</v>
      </c>
      <c r="O136" s="4">
        <v>10040.69</v>
      </c>
      <c r="P136" s="4">
        <v>130413.24</v>
      </c>
      <c r="Q136" s="41">
        <v>85146.51</v>
      </c>
      <c r="R136" s="48"/>
      <c r="S136" s="48"/>
    </row>
    <row r="137" spans="1:19" s="23" customFormat="1" x14ac:dyDescent="0.35">
      <c r="A137" s="12">
        <v>119</v>
      </c>
      <c r="B137" s="1" t="s">
        <v>62</v>
      </c>
      <c r="C137" s="4">
        <v>24154.65</v>
      </c>
      <c r="D137" s="4">
        <v>12000</v>
      </c>
      <c r="E137" s="33"/>
      <c r="F137" s="4"/>
      <c r="G137" s="4"/>
      <c r="H137" s="4"/>
      <c r="I137" s="27"/>
      <c r="J137" s="4"/>
      <c r="L137" s="27">
        <v>31210.65</v>
      </c>
      <c r="M137" s="4">
        <v>25403.81</v>
      </c>
      <c r="N137" s="4"/>
      <c r="O137" s="4"/>
      <c r="P137" s="4"/>
      <c r="Q137" s="41"/>
      <c r="R137" s="48"/>
      <c r="S137" s="48"/>
    </row>
    <row r="138" spans="1:19" s="23" customFormat="1" x14ac:dyDescent="0.35">
      <c r="A138" s="12">
        <v>120</v>
      </c>
      <c r="B138" s="1" t="s">
        <v>63</v>
      </c>
      <c r="C138" s="4">
        <v>17047.830000000002</v>
      </c>
      <c r="D138" s="4">
        <v>10800</v>
      </c>
      <c r="E138" s="33"/>
      <c r="F138" s="4">
        <v>6706</v>
      </c>
      <c r="G138" s="4">
        <v>0</v>
      </c>
      <c r="H138" s="4"/>
      <c r="I138" s="27"/>
      <c r="J138" s="4"/>
      <c r="L138" s="27">
        <v>12603.28</v>
      </c>
      <c r="M138" s="4">
        <v>9428.08</v>
      </c>
      <c r="N138" s="4"/>
      <c r="O138" s="4"/>
      <c r="P138" s="4"/>
      <c r="Q138" s="41"/>
      <c r="R138" s="48"/>
      <c r="S138" s="48"/>
    </row>
    <row r="139" spans="1:19" s="23" customFormat="1" x14ac:dyDescent="0.35">
      <c r="A139" s="12">
        <v>121</v>
      </c>
      <c r="B139" s="1" t="s">
        <v>266</v>
      </c>
      <c r="C139" s="4"/>
      <c r="D139" s="4"/>
      <c r="E139" s="33"/>
      <c r="F139" s="4"/>
      <c r="G139" s="4"/>
      <c r="H139" s="4"/>
      <c r="I139" s="27"/>
      <c r="J139" s="4"/>
      <c r="L139" s="27">
        <v>17026.75</v>
      </c>
      <c r="M139" s="4">
        <v>12119.62</v>
      </c>
      <c r="N139" s="4"/>
      <c r="O139" s="4"/>
      <c r="P139" s="4"/>
      <c r="Q139" s="41"/>
      <c r="R139" s="48">
        <v>12367</v>
      </c>
      <c r="S139" s="48">
        <v>11197</v>
      </c>
    </row>
    <row r="140" spans="1:19" s="23" customFormat="1" x14ac:dyDescent="0.35">
      <c r="A140" s="12">
        <v>122</v>
      </c>
      <c r="B140" s="1" t="s">
        <v>64</v>
      </c>
      <c r="C140" s="4">
        <v>6515</v>
      </c>
      <c r="D140" s="4">
        <v>4450</v>
      </c>
      <c r="E140" s="33"/>
      <c r="F140" s="4"/>
      <c r="G140" s="4"/>
      <c r="H140" s="4"/>
      <c r="I140" s="27"/>
      <c r="J140" s="4"/>
      <c r="L140" s="27"/>
      <c r="M140" s="4"/>
      <c r="N140" s="4">
        <v>7326.19</v>
      </c>
      <c r="O140" s="4">
        <v>4197.99</v>
      </c>
      <c r="P140" s="4"/>
      <c r="Q140" s="41"/>
      <c r="R140" s="48"/>
      <c r="S140" s="48"/>
    </row>
    <row r="141" spans="1:19" s="23" customFormat="1" x14ac:dyDescent="0.35">
      <c r="A141" s="12">
        <v>123</v>
      </c>
      <c r="B141" s="1" t="s">
        <v>65</v>
      </c>
      <c r="C141" s="4">
        <v>28530</v>
      </c>
      <c r="D141" s="4">
        <v>8950</v>
      </c>
      <c r="E141" s="33"/>
      <c r="F141" s="4"/>
      <c r="G141" s="4"/>
      <c r="H141" s="4"/>
      <c r="I141" s="27"/>
      <c r="J141" s="4"/>
      <c r="L141" s="27">
        <v>8230.75</v>
      </c>
      <c r="M141" s="4">
        <v>6755.75</v>
      </c>
      <c r="N141" s="4"/>
      <c r="O141" s="4"/>
      <c r="P141" s="4">
        <v>4240</v>
      </c>
      <c r="Q141" s="41">
        <v>3060</v>
      </c>
      <c r="R141" s="48">
        <v>2027.14</v>
      </c>
      <c r="S141" s="48">
        <v>2027.14</v>
      </c>
    </row>
    <row r="142" spans="1:19" s="23" customFormat="1" x14ac:dyDescent="0.35">
      <c r="A142" s="12">
        <v>124</v>
      </c>
      <c r="B142" s="1" t="s">
        <v>66</v>
      </c>
      <c r="C142" s="4">
        <v>335580</v>
      </c>
      <c r="D142" s="4">
        <v>54300</v>
      </c>
      <c r="E142" s="33"/>
      <c r="F142" s="4">
        <v>360150.6</v>
      </c>
      <c r="G142" s="4">
        <v>88380.62</v>
      </c>
      <c r="H142" s="4"/>
      <c r="I142" s="27">
        <v>679992.02</v>
      </c>
      <c r="J142" s="4">
        <v>62095.55</v>
      </c>
      <c r="L142" s="27">
        <v>1002599.81</v>
      </c>
      <c r="M142" s="4">
        <v>67584.94</v>
      </c>
      <c r="N142" s="4"/>
      <c r="O142" s="4"/>
      <c r="P142" s="4">
        <v>178248.48</v>
      </c>
      <c r="Q142" s="41">
        <v>85146.5</v>
      </c>
      <c r="R142" s="48">
        <v>201468.48</v>
      </c>
      <c r="S142" s="48">
        <v>201468.48</v>
      </c>
    </row>
    <row r="143" spans="1:19" s="23" customFormat="1" x14ac:dyDescent="0.35">
      <c r="A143" s="12">
        <v>125</v>
      </c>
      <c r="B143" s="1" t="s">
        <v>67</v>
      </c>
      <c r="C143" s="4">
        <v>214710</v>
      </c>
      <c r="D143" s="4">
        <v>153600</v>
      </c>
      <c r="E143" s="33"/>
      <c r="F143" s="4">
        <v>123000</v>
      </c>
      <c r="G143" s="4">
        <v>0</v>
      </c>
      <c r="H143" s="4"/>
      <c r="I143" s="27">
        <v>268044.3</v>
      </c>
      <c r="J143" s="4">
        <v>62095.55</v>
      </c>
      <c r="L143" s="27"/>
      <c r="M143" s="4"/>
      <c r="N143" s="4"/>
      <c r="O143" s="4"/>
      <c r="P143" s="4">
        <v>235273.5</v>
      </c>
      <c r="Q143" s="41">
        <v>85146.51</v>
      </c>
      <c r="R143" s="48">
        <v>163800</v>
      </c>
      <c r="S143" s="48">
        <v>163800</v>
      </c>
    </row>
    <row r="144" spans="1:19" s="23" customFormat="1" x14ac:dyDescent="0.35">
      <c r="A144" s="12">
        <v>126</v>
      </c>
      <c r="B144" s="1" t="s">
        <v>243</v>
      </c>
      <c r="C144" s="4"/>
      <c r="D144" s="4"/>
      <c r="E144" s="33"/>
      <c r="F144" s="4"/>
      <c r="G144" s="4"/>
      <c r="H144" s="4"/>
      <c r="I144" s="27">
        <v>3540</v>
      </c>
      <c r="J144" s="4">
        <v>3540</v>
      </c>
      <c r="L144" s="27"/>
      <c r="M144" s="4"/>
      <c r="N144" s="4"/>
      <c r="O144" s="4"/>
      <c r="P144" s="4"/>
      <c r="Q144" s="41"/>
      <c r="R144" s="48"/>
      <c r="S144" s="48"/>
    </row>
    <row r="145" spans="1:19" s="23" customFormat="1" x14ac:dyDescent="0.35">
      <c r="A145" s="12">
        <v>127</v>
      </c>
      <c r="B145" s="1" t="s">
        <v>68</v>
      </c>
      <c r="C145" s="4">
        <v>32613</v>
      </c>
      <c r="D145" s="4">
        <v>30573.75</v>
      </c>
      <c r="E145" s="33"/>
      <c r="F145" s="4"/>
      <c r="G145" s="4"/>
      <c r="H145" s="4"/>
      <c r="I145" s="27"/>
      <c r="J145" s="4"/>
      <c r="L145" s="27">
        <v>4800</v>
      </c>
      <c r="M145" s="4">
        <v>4800</v>
      </c>
      <c r="N145" s="4">
        <v>9572.7999999999993</v>
      </c>
      <c r="O145" s="4">
        <v>9572.7999999999993</v>
      </c>
      <c r="P145" s="4">
        <v>13932</v>
      </c>
      <c r="Q145" s="41">
        <v>13932</v>
      </c>
      <c r="R145" s="48"/>
      <c r="S145" s="48"/>
    </row>
    <row r="146" spans="1:19" s="23" customFormat="1" x14ac:dyDescent="0.35">
      <c r="A146" s="12">
        <v>128</v>
      </c>
      <c r="B146" s="1" t="s">
        <v>69</v>
      </c>
      <c r="C146" s="4">
        <v>17000</v>
      </c>
      <c r="D146" s="4">
        <v>9600</v>
      </c>
      <c r="E146" s="33"/>
      <c r="F146" s="4"/>
      <c r="G146" s="4"/>
      <c r="H146" s="4"/>
      <c r="I146" s="27"/>
      <c r="J146" s="4"/>
      <c r="L146" s="27"/>
      <c r="M146" s="4"/>
      <c r="N146" s="4"/>
      <c r="O146" s="4"/>
      <c r="P146" s="4"/>
      <c r="Q146" s="41"/>
      <c r="R146" s="48"/>
      <c r="S146" s="48"/>
    </row>
    <row r="147" spans="1:19" s="23" customFormat="1" x14ac:dyDescent="0.35">
      <c r="A147" s="12">
        <v>129</v>
      </c>
      <c r="B147" s="1" t="s">
        <v>186</v>
      </c>
      <c r="C147" s="11"/>
      <c r="D147" s="11"/>
      <c r="E147" s="32"/>
      <c r="F147" s="2">
        <v>3178</v>
      </c>
      <c r="G147" s="2">
        <v>3178</v>
      </c>
      <c r="H147" s="2"/>
      <c r="I147" s="27"/>
      <c r="J147" s="2"/>
      <c r="L147" s="27"/>
      <c r="M147" s="2"/>
      <c r="N147" s="2"/>
      <c r="O147" s="2"/>
      <c r="P147" s="2"/>
      <c r="Q147" s="48"/>
      <c r="R147" s="48"/>
      <c r="S147" s="48"/>
    </row>
    <row r="148" spans="1:19" s="23" customFormat="1" ht="14.9" customHeight="1" x14ac:dyDescent="0.35">
      <c r="A148" s="12">
        <v>130</v>
      </c>
      <c r="B148" s="1" t="s">
        <v>70</v>
      </c>
      <c r="C148" s="4">
        <v>10625</v>
      </c>
      <c r="D148" s="4">
        <v>7570</v>
      </c>
      <c r="E148" s="33"/>
      <c r="F148" s="4"/>
      <c r="G148" s="4"/>
      <c r="H148" s="4"/>
      <c r="I148" s="27"/>
      <c r="J148" s="4"/>
      <c r="L148" s="27"/>
      <c r="M148" s="4"/>
      <c r="N148" s="4"/>
      <c r="O148" s="4"/>
      <c r="P148" s="4"/>
      <c r="Q148" s="41"/>
      <c r="R148" s="48"/>
      <c r="S148" s="48"/>
    </row>
    <row r="149" spans="1:19" s="23" customFormat="1" x14ac:dyDescent="0.35">
      <c r="A149" s="12">
        <v>131</v>
      </c>
      <c r="B149" s="1" t="s">
        <v>71</v>
      </c>
      <c r="C149" s="4">
        <v>3628</v>
      </c>
      <c r="D149" s="4">
        <v>2400</v>
      </c>
      <c r="E149" s="33"/>
      <c r="F149" s="4"/>
      <c r="G149" s="4"/>
      <c r="H149" s="4"/>
      <c r="I149" s="27"/>
      <c r="J149" s="4"/>
      <c r="L149" s="27"/>
      <c r="M149" s="4"/>
      <c r="N149" s="4"/>
      <c r="O149" s="4"/>
      <c r="P149" s="4"/>
      <c r="Q149" s="41"/>
      <c r="R149" s="48"/>
      <c r="S149" s="48"/>
    </row>
    <row r="150" spans="1:19" s="23" customFormat="1" x14ac:dyDescent="0.35">
      <c r="A150" s="12">
        <v>132</v>
      </c>
      <c r="B150" s="1" t="s">
        <v>72</v>
      </c>
      <c r="C150" s="4">
        <v>78548.3</v>
      </c>
      <c r="D150" s="4">
        <v>22178</v>
      </c>
      <c r="E150" s="33"/>
      <c r="F150" s="4">
        <v>11814.5</v>
      </c>
      <c r="G150" s="4">
        <v>0</v>
      </c>
      <c r="H150" s="4"/>
      <c r="I150" s="27"/>
      <c r="J150" s="4"/>
      <c r="L150" s="27">
        <v>97428.26</v>
      </c>
      <c r="M150" s="4">
        <v>67584.95</v>
      </c>
      <c r="N150" s="4">
        <v>28403.62</v>
      </c>
      <c r="O150" s="4">
        <v>28403.62</v>
      </c>
      <c r="P150" s="4">
        <v>146937.57999999999</v>
      </c>
      <c r="Q150" s="41">
        <v>85146.51</v>
      </c>
      <c r="R150" s="48">
        <v>101271.1</v>
      </c>
      <c r="S150" s="48">
        <v>101271.1</v>
      </c>
    </row>
    <row r="151" spans="1:19" s="23" customFormat="1" x14ac:dyDescent="0.35">
      <c r="A151" s="12">
        <v>133</v>
      </c>
      <c r="B151" s="1" t="s">
        <v>187</v>
      </c>
      <c r="C151" s="11"/>
      <c r="D151" s="11"/>
      <c r="E151" s="32"/>
      <c r="F151" s="2">
        <v>11360</v>
      </c>
      <c r="G151" s="2">
        <v>10874.93</v>
      </c>
      <c r="H151" s="2"/>
      <c r="I151" s="27"/>
      <c r="J151" s="2"/>
      <c r="L151" s="27"/>
      <c r="M151" s="2"/>
      <c r="N151" s="2"/>
      <c r="O151" s="2"/>
      <c r="P151" s="2"/>
      <c r="Q151" s="48"/>
      <c r="R151" s="48"/>
      <c r="S151" s="48"/>
    </row>
    <row r="152" spans="1:19" s="23" customFormat="1" x14ac:dyDescent="0.35">
      <c r="A152" s="12">
        <v>134</v>
      </c>
      <c r="B152" s="1" t="s">
        <v>160</v>
      </c>
      <c r="C152" s="4">
        <v>18215</v>
      </c>
      <c r="D152" s="4">
        <v>14065</v>
      </c>
      <c r="E152" s="33"/>
      <c r="F152" s="4">
        <v>76656.97</v>
      </c>
      <c r="G152" s="4">
        <v>0</v>
      </c>
      <c r="H152" s="4"/>
      <c r="I152" s="27">
        <v>2145.9499999999998</v>
      </c>
      <c r="J152" s="4">
        <v>2145.9499999999998</v>
      </c>
      <c r="L152" s="27"/>
      <c r="M152" s="4"/>
      <c r="N152" s="4"/>
      <c r="O152" s="4"/>
      <c r="P152" s="4"/>
      <c r="Q152" s="41"/>
      <c r="R152" s="48"/>
      <c r="S152" s="48"/>
    </row>
    <row r="153" spans="1:19" s="23" customFormat="1" x14ac:dyDescent="0.35">
      <c r="A153" s="12">
        <v>135</v>
      </c>
      <c r="B153" s="1" t="s">
        <v>73</v>
      </c>
      <c r="C153" s="4">
        <v>945</v>
      </c>
      <c r="D153" s="4">
        <v>945</v>
      </c>
      <c r="E153" s="33"/>
      <c r="F153" s="4"/>
      <c r="G153" s="4"/>
      <c r="H153" s="4"/>
      <c r="I153" s="27"/>
      <c r="J153" s="4"/>
      <c r="L153" s="27"/>
      <c r="M153" s="4"/>
      <c r="N153" s="4"/>
      <c r="O153" s="4"/>
      <c r="P153" s="4"/>
      <c r="Q153" s="41"/>
      <c r="R153" s="48"/>
      <c r="S153" s="48"/>
    </row>
    <row r="154" spans="1:19" s="23" customFormat="1" x14ac:dyDescent="0.35">
      <c r="A154" s="12">
        <v>136</v>
      </c>
      <c r="B154" s="1" t="s">
        <v>74</v>
      </c>
      <c r="C154" s="4">
        <v>47331.31</v>
      </c>
      <c r="D154" s="8">
        <v>25412.5</v>
      </c>
      <c r="E154" s="21"/>
      <c r="F154" s="4">
        <v>39758.79</v>
      </c>
      <c r="G154" s="4">
        <v>0</v>
      </c>
      <c r="H154" s="4"/>
      <c r="I154" s="27">
        <v>13499.65</v>
      </c>
      <c r="J154" s="4">
        <v>12220.3</v>
      </c>
      <c r="L154" s="27"/>
      <c r="M154" s="4"/>
      <c r="N154" s="4">
        <v>21800.959999999999</v>
      </c>
      <c r="O154" s="4">
        <v>21121.86</v>
      </c>
      <c r="P154" s="4">
        <v>19054.080000000002</v>
      </c>
      <c r="Q154" s="41">
        <v>19054.080000000002</v>
      </c>
      <c r="R154" s="48">
        <v>112566</v>
      </c>
      <c r="S154" s="48">
        <v>112566</v>
      </c>
    </row>
    <row r="155" spans="1:19" s="23" customFormat="1" x14ac:dyDescent="0.35">
      <c r="A155" s="12">
        <v>137</v>
      </c>
      <c r="B155" s="1" t="s">
        <v>244</v>
      </c>
      <c r="C155" s="4"/>
      <c r="D155" s="8"/>
      <c r="E155" s="21"/>
      <c r="F155" s="4"/>
      <c r="G155" s="4"/>
      <c r="H155" s="4"/>
      <c r="I155" s="27">
        <v>42605.8</v>
      </c>
      <c r="J155" s="4">
        <v>40610.800000000003</v>
      </c>
      <c r="L155" s="27"/>
      <c r="M155" s="4"/>
      <c r="N155" s="4"/>
      <c r="O155" s="4"/>
      <c r="P155" s="4"/>
      <c r="Q155" s="41"/>
      <c r="R155" s="48"/>
      <c r="S155" s="48"/>
    </row>
    <row r="156" spans="1:19" s="23" customFormat="1" ht="14.9" customHeight="1" x14ac:dyDescent="0.35">
      <c r="A156" s="12">
        <v>138</v>
      </c>
      <c r="B156" s="1" t="s">
        <v>75</v>
      </c>
      <c r="C156" s="4">
        <v>36174.629999999997</v>
      </c>
      <c r="D156" s="4">
        <v>27824.31</v>
      </c>
      <c r="E156" s="33"/>
      <c r="F156" s="4">
        <v>34064.31</v>
      </c>
      <c r="G156" s="4">
        <v>0</v>
      </c>
      <c r="H156" s="4"/>
      <c r="I156" s="27">
        <v>16788.599999999999</v>
      </c>
      <c r="J156" s="4">
        <v>1800</v>
      </c>
      <c r="L156" s="27">
        <v>4389</v>
      </c>
      <c r="M156" s="4">
        <v>3751.4</v>
      </c>
      <c r="N156" s="4">
        <v>9849.6</v>
      </c>
      <c r="O156" s="4">
        <v>4374</v>
      </c>
      <c r="P156" s="4"/>
      <c r="Q156" s="41"/>
      <c r="R156" s="48">
        <v>59273</v>
      </c>
      <c r="S156" s="48">
        <v>54983</v>
      </c>
    </row>
    <row r="157" spans="1:19" s="23" customFormat="1" ht="14.9" customHeight="1" x14ac:dyDescent="0.35">
      <c r="A157" s="12">
        <v>139</v>
      </c>
      <c r="B157" s="1" t="s">
        <v>245</v>
      </c>
      <c r="C157" s="4"/>
      <c r="D157" s="4"/>
      <c r="E157" s="33"/>
      <c r="F157" s="4"/>
      <c r="G157" s="4"/>
      <c r="H157" s="4"/>
      <c r="I157" s="27">
        <v>23225</v>
      </c>
      <c r="J157" s="4">
        <v>13730</v>
      </c>
      <c r="L157" s="27"/>
      <c r="M157" s="4"/>
      <c r="N157" s="4"/>
      <c r="O157" s="4"/>
      <c r="P157" s="4"/>
      <c r="Q157" s="41"/>
      <c r="R157" s="48"/>
      <c r="S157" s="48"/>
    </row>
    <row r="158" spans="1:19" s="23" customFormat="1" x14ac:dyDescent="0.35">
      <c r="A158" s="12">
        <v>140</v>
      </c>
      <c r="B158" s="1" t="s">
        <v>76</v>
      </c>
      <c r="C158" s="4">
        <v>198247</v>
      </c>
      <c r="D158" s="4">
        <v>186267</v>
      </c>
      <c r="E158" s="33"/>
      <c r="F158" s="4"/>
      <c r="G158" s="4"/>
      <c r="H158" s="4"/>
      <c r="I158" s="27">
        <v>47695</v>
      </c>
      <c r="J158" s="4">
        <v>31345</v>
      </c>
      <c r="L158" s="27">
        <v>58360</v>
      </c>
      <c r="M158" s="4">
        <v>39830</v>
      </c>
      <c r="N158" s="4">
        <v>44442</v>
      </c>
      <c r="O158" s="4">
        <v>29697</v>
      </c>
      <c r="P158" s="4">
        <v>40932</v>
      </c>
      <c r="Q158" s="41">
        <v>29136</v>
      </c>
      <c r="R158" s="48">
        <v>75528</v>
      </c>
      <c r="S158" s="48">
        <v>75528</v>
      </c>
    </row>
    <row r="159" spans="1:19" s="23" customFormat="1" x14ac:dyDescent="0.35">
      <c r="A159" s="12">
        <v>141</v>
      </c>
      <c r="B159" s="1" t="s">
        <v>77</v>
      </c>
      <c r="C159" s="4">
        <v>125000</v>
      </c>
      <c r="D159" s="4">
        <v>74000</v>
      </c>
      <c r="E159" s="33"/>
      <c r="F159" s="4">
        <v>29188.84</v>
      </c>
      <c r="G159" s="4">
        <v>0</v>
      </c>
      <c r="H159" s="4"/>
      <c r="I159" s="27"/>
      <c r="J159" s="4"/>
      <c r="L159" s="27">
        <v>35331</v>
      </c>
      <c r="M159" s="4">
        <v>28914</v>
      </c>
      <c r="N159" s="4"/>
      <c r="O159" s="4"/>
      <c r="P159" s="4"/>
      <c r="Q159" s="41"/>
      <c r="R159" s="48"/>
      <c r="S159" s="48"/>
    </row>
    <row r="160" spans="1:19" s="23" customFormat="1" x14ac:dyDescent="0.35">
      <c r="A160" s="12">
        <v>142</v>
      </c>
      <c r="B160" s="1" t="s">
        <v>78</v>
      </c>
      <c r="C160" s="4">
        <v>9824.7999999999993</v>
      </c>
      <c r="D160" s="4">
        <v>9824.7999999999993</v>
      </c>
      <c r="E160" s="33"/>
      <c r="F160" s="4"/>
      <c r="G160" s="4"/>
      <c r="H160" s="4"/>
      <c r="I160" s="27">
        <v>1288</v>
      </c>
      <c r="J160" s="4">
        <v>644</v>
      </c>
      <c r="L160" s="27"/>
      <c r="M160" s="4"/>
      <c r="N160" s="4">
        <v>27709.45</v>
      </c>
      <c r="O160" s="4">
        <v>27709.45</v>
      </c>
      <c r="P160" s="4"/>
      <c r="Q160" s="41"/>
      <c r="R160" s="48">
        <v>7947.5</v>
      </c>
      <c r="S160" s="48">
        <v>7947.5</v>
      </c>
    </row>
    <row r="161" spans="1:19" s="23" customFormat="1" x14ac:dyDescent="0.35">
      <c r="A161" s="12">
        <v>143</v>
      </c>
      <c r="B161" s="1" t="s">
        <v>214</v>
      </c>
      <c r="C161" s="11"/>
      <c r="D161" s="11"/>
      <c r="E161" s="32"/>
      <c r="F161" s="2">
        <v>10548.59</v>
      </c>
      <c r="G161" s="2">
        <v>10548.59</v>
      </c>
      <c r="H161" s="2"/>
      <c r="I161" s="27"/>
      <c r="J161" s="2"/>
      <c r="L161" s="27"/>
      <c r="M161" s="2"/>
      <c r="N161" s="2"/>
      <c r="O161" s="2"/>
      <c r="P161" s="2"/>
      <c r="Q161" s="48"/>
      <c r="R161" s="48"/>
      <c r="S161" s="48"/>
    </row>
    <row r="162" spans="1:19" s="23" customFormat="1" x14ac:dyDescent="0.35">
      <c r="A162" s="12">
        <v>144</v>
      </c>
      <c r="B162" s="1" t="s">
        <v>79</v>
      </c>
      <c r="C162" s="4">
        <v>54390</v>
      </c>
      <c r="D162" s="4">
        <v>29400</v>
      </c>
      <c r="E162" s="33"/>
      <c r="F162" s="4">
        <v>38000</v>
      </c>
      <c r="G162" s="4">
        <v>0</v>
      </c>
      <c r="H162" s="4"/>
      <c r="I162" s="27">
        <v>14700</v>
      </c>
      <c r="J162" s="4">
        <v>11250</v>
      </c>
      <c r="L162" s="27">
        <v>6778.7</v>
      </c>
      <c r="M162" s="4">
        <v>5321.2</v>
      </c>
      <c r="N162" s="4"/>
      <c r="O162" s="4"/>
      <c r="P162" s="4">
        <v>19855</v>
      </c>
      <c r="Q162" s="41">
        <v>15841.35</v>
      </c>
      <c r="R162" s="48"/>
      <c r="S162" s="48"/>
    </row>
    <row r="163" spans="1:19" s="23" customFormat="1" ht="14.9" customHeight="1" x14ac:dyDescent="0.35">
      <c r="A163" s="12">
        <v>145</v>
      </c>
      <c r="B163" s="1" t="s">
        <v>80</v>
      </c>
      <c r="C163" s="4">
        <v>32589.77</v>
      </c>
      <c r="D163" s="4">
        <v>20000</v>
      </c>
      <c r="E163" s="33"/>
      <c r="F163" s="4"/>
      <c r="G163" s="4"/>
      <c r="H163" s="4"/>
      <c r="I163" s="27"/>
      <c r="J163" s="4"/>
      <c r="L163" s="27">
        <v>10249.200000000001</v>
      </c>
      <c r="M163" s="4">
        <v>9587.2000000000007</v>
      </c>
      <c r="N163" s="4"/>
      <c r="O163" s="4"/>
      <c r="P163" s="4"/>
      <c r="Q163" s="41"/>
      <c r="R163" s="48"/>
      <c r="S163" s="48"/>
    </row>
    <row r="164" spans="1:19" s="23" customFormat="1" x14ac:dyDescent="0.35">
      <c r="A164" s="12">
        <v>146</v>
      </c>
      <c r="B164" s="1" t="s">
        <v>81</v>
      </c>
      <c r="C164" s="4">
        <v>6609.94</v>
      </c>
      <c r="D164" s="4">
        <v>4957</v>
      </c>
      <c r="E164" s="33"/>
      <c r="F164" s="4">
        <v>15887</v>
      </c>
      <c r="G164" s="4">
        <v>0</v>
      </c>
      <c r="H164" s="4"/>
      <c r="I164" s="27"/>
      <c r="J164" s="4"/>
      <c r="L164" s="27"/>
      <c r="M164" s="4"/>
      <c r="N164" s="4">
        <v>9450.86</v>
      </c>
      <c r="O164" s="4">
        <v>9450.86</v>
      </c>
      <c r="P164" s="4"/>
      <c r="Q164" s="41"/>
      <c r="R164" s="48"/>
      <c r="S164" s="48"/>
    </row>
    <row r="165" spans="1:19" s="23" customFormat="1" x14ac:dyDescent="0.35">
      <c r="A165" s="12">
        <v>147</v>
      </c>
      <c r="B165" s="1" t="s">
        <v>82</v>
      </c>
      <c r="C165" s="4">
        <v>374600</v>
      </c>
      <c r="D165" s="4">
        <v>67500</v>
      </c>
      <c r="E165" s="33"/>
      <c r="F165" s="4">
        <v>378696</v>
      </c>
      <c r="G165" s="4">
        <v>88380.62</v>
      </c>
      <c r="H165" s="4"/>
      <c r="I165" s="27">
        <v>257199</v>
      </c>
      <c r="J165" s="4">
        <v>62095.55</v>
      </c>
      <c r="L165" s="27">
        <v>60720</v>
      </c>
      <c r="M165" s="4">
        <v>41250</v>
      </c>
      <c r="N165" s="4">
        <v>401250</v>
      </c>
      <c r="O165" s="4">
        <v>60189.64</v>
      </c>
      <c r="P165" s="4">
        <v>420643.75</v>
      </c>
      <c r="Q165" s="41">
        <v>85146.5</v>
      </c>
      <c r="R165" s="48">
        <v>412279.56</v>
      </c>
      <c r="S165" s="48">
        <v>412279.56</v>
      </c>
    </row>
    <row r="166" spans="1:19" s="23" customFormat="1" ht="14.9" customHeight="1" x14ac:dyDescent="0.35">
      <c r="A166" s="12">
        <v>148</v>
      </c>
      <c r="B166" s="1" t="s">
        <v>84</v>
      </c>
      <c r="C166" s="4">
        <v>73356</v>
      </c>
      <c r="D166" s="4">
        <v>32607</v>
      </c>
      <c r="E166" s="33"/>
      <c r="F166" s="4">
        <v>37800</v>
      </c>
      <c r="G166" s="4">
        <v>0</v>
      </c>
      <c r="H166" s="4"/>
      <c r="I166" s="27">
        <v>16800</v>
      </c>
      <c r="J166" s="4">
        <v>8400</v>
      </c>
      <c r="L166" s="27"/>
      <c r="M166" s="4"/>
      <c r="N166" s="4"/>
      <c r="O166" s="4"/>
      <c r="P166" s="4"/>
      <c r="Q166" s="41"/>
      <c r="R166" s="48"/>
      <c r="S166" s="48"/>
    </row>
    <row r="167" spans="1:19" s="23" customFormat="1" x14ac:dyDescent="0.35">
      <c r="A167" s="12">
        <v>149</v>
      </c>
      <c r="B167" s="1" t="s">
        <v>161</v>
      </c>
      <c r="C167" s="4">
        <v>10659.9</v>
      </c>
      <c r="D167" s="4">
        <v>6600</v>
      </c>
      <c r="E167" s="33"/>
      <c r="F167" s="4"/>
      <c r="G167" s="4"/>
      <c r="H167" s="4"/>
      <c r="I167" s="27"/>
      <c r="J167" s="4"/>
      <c r="L167" s="27">
        <v>15751.39</v>
      </c>
      <c r="M167" s="4">
        <v>14362.79</v>
      </c>
      <c r="N167" s="4"/>
      <c r="O167" s="4"/>
      <c r="P167" s="4"/>
      <c r="Q167" s="41"/>
      <c r="R167" s="48"/>
      <c r="S167" s="48"/>
    </row>
    <row r="168" spans="1:19" s="23" customFormat="1" x14ac:dyDescent="0.35">
      <c r="A168" s="12">
        <v>150</v>
      </c>
      <c r="B168" s="1" t="s">
        <v>83</v>
      </c>
      <c r="C168" s="4">
        <v>21545</v>
      </c>
      <c r="D168" s="4">
        <v>7800</v>
      </c>
      <c r="E168" s="33"/>
      <c r="F168" s="4">
        <v>7094.09</v>
      </c>
      <c r="G168" s="4">
        <v>0</v>
      </c>
      <c r="H168" s="4"/>
      <c r="I168" s="27"/>
      <c r="J168" s="4"/>
      <c r="L168" s="27"/>
      <c r="M168" s="4"/>
      <c r="N168" s="4"/>
      <c r="O168" s="4"/>
      <c r="P168" s="4"/>
      <c r="Q168" s="41"/>
      <c r="R168" s="48"/>
      <c r="S168" s="48"/>
    </row>
    <row r="169" spans="1:19" s="23" customFormat="1" x14ac:dyDescent="0.35">
      <c r="A169" s="12">
        <v>151</v>
      </c>
      <c r="B169" s="1" t="s">
        <v>85</v>
      </c>
      <c r="C169" s="4">
        <v>3636.18</v>
      </c>
      <c r="D169" s="4">
        <v>3636.18</v>
      </c>
      <c r="E169" s="33"/>
      <c r="F169" s="4"/>
      <c r="G169" s="4"/>
      <c r="H169" s="4"/>
      <c r="I169" s="27">
        <v>4236</v>
      </c>
      <c r="J169" s="4">
        <v>4236</v>
      </c>
      <c r="L169" s="27">
        <v>4236</v>
      </c>
      <c r="M169" s="4">
        <v>4236</v>
      </c>
      <c r="N169" s="4">
        <v>5033.28</v>
      </c>
      <c r="O169" s="4">
        <v>5033.28</v>
      </c>
      <c r="P169" s="4">
        <v>5033.28</v>
      </c>
      <c r="Q169" s="41">
        <v>5033.28</v>
      </c>
      <c r="R169" s="48">
        <v>14837.47</v>
      </c>
      <c r="S169" s="48">
        <v>14837.47</v>
      </c>
    </row>
    <row r="170" spans="1:19" s="23" customFormat="1" x14ac:dyDescent="0.35">
      <c r="A170" s="12">
        <v>152</v>
      </c>
      <c r="B170" s="1" t="s">
        <v>86</v>
      </c>
      <c r="C170" s="4">
        <v>27457.98</v>
      </c>
      <c r="D170" s="4">
        <v>18000</v>
      </c>
      <c r="E170" s="33"/>
      <c r="F170" s="4"/>
      <c r="G170" s="4"/>
      <c r="H170" s="4"/>
      <c r="I170" s="27"/>
      <c r="J170" s="4"/>
      <c r="L170" s="27"/>
      <c r="M170" s="4"/>
      <c r="N170" s="4"/>
      <c r="O170" s="4"/>
      <c r="P170" s="4"/>
      <c r="Q170" s="41"/>
      <c r="R170" s="48"/>
      <c r="S170" s="48"/>
    </row>
    <row r="171" spans="1:19" s="23" customFormat="1" ht="14.9" customHeight="1" x14ac:dyDescent="0.35">
      <c r="A171" s="12">
        <v>153</v>
      </c>
      <c r="B171" s="1" t="s">
        <v>87</v>
      </c>
      <c r="C171" s="4">
        <v>31325</v>
      </c>
      <c r="D171" s="4">
        <v>21000</v>
      </c>
      <c r="E171" s="33"/>
      <c r="F171" s="4">
        <v>24885</v>
      </c>
      <c r="G171" s="4">
        <v>0</v>
      </c>
      <c r="H171" s="4"/>
      <c r="I171" s="27">
        <v>17235.38</v>
      </c>
      <c r="J171" s="4">
        <v>4671.38</v>
      </c>
      <c r="L171" s="27"/>
      <c r="M171" s="4"/>
      <c r="N171" s="4">
        <v>11373.6</v>
      </c>
      <c r="O171" s="4">
        <v>7245.6</v>
      </c>
      <c r="P171" s="4">
        <v>8840</v>
      </c>
      <c r="Q171" s="41">
        <v>5680</v>
      </c>
      <c r="R171" s="48"/>
      <c r="S171" s="48"/>
    </row>
    <row r="172" spans="1:19" s="23" customFormat="1" x14ac:dyDescent="0.35">
      <c r="A172" s="12">
        <v>154</v>
      </c>
      <c r="B172" s="1" t="s">
        <v>88</v>
      </c>
      <c r="C172" s="4">
        <v>29280.75</v>
      </c>
      <c r="D172" s="4">
        <v>15723</v>
      </c>
      <c r="E172" s="33"/>
      <c r="F172" s="4">
        <v>3627</v>
      </c>
      <c r="G172" s="4">
        <v>0</v>
      </c>
      <c r="H172" s="4"/>
      <c r="I172" s="27"/>
      <c r="J172" s="4"/>
      <c r="L172" s="27">
        <v>12029</v>
      </c>
      <c r="M172" s="4">
        <v>12029</v>
      </c>
      <c r="N172" s="4"/>
      <c r="O172" s="4"/>
      <c r="P172" s="4"/>
      <c r="Q172" s="41"/>
      <c r="R172" s="48"/>
      <c r="S172" s="48"/>
    </row>
    <row r="173" spans="1:19" s="23" customFormat="1" x14ac:dyDescent="0.35">
      <c r="A173" s="12">
        <v>155</v>
      </c>
      <c r="B173" s="1" t="s">
        <v>89</v>
      </c>
      <c r="C173" s="4">
        <v>13129.68</v>
      </c>
      <c r="D173" s="4">
        <v>9920</v>
      </c>
      <c r="E173" s="33"/>
      <c r="F173" s="4"/>
      <c r="G173" s="4"/>
      <c r="H173" s="4"/>
      <c r="I173" s="27">
        <v>16648.18</v>
      </c>
      <c r="J173" s="4">
        <v>16648.18</v>
      </c>
      <c r="L173" s="27"/>
      <c r="M173" s="4"/>
      <c r="N173" s="4"/>
      <c r="O173" s="4"/>
      <c r="P173" s="4"/>
      <c r="Q173" s="41"/>
      <c r="R173" s="48">
        <v>8226.6</v>
      </c>
      <c r="S173" s="48">
        <v>8226.6</v>
      </c>
    </row>
    <row r="174" spans="1:19" s="23" customFormat="1" x14ac:dyDescent="0.35">
      <c r="A174" s="12">
        <v>156</v>
      </c>
      <c r="B174" s="1" t="s">
        <v>90</v>
      </c>
      <c r="C174" s="4">
        <v>19918</v>
      </c>
      <c r="D174" s="33">
        <v>19918</v>
      </c>
      <c r="E174" s="33"/>
      <c r="F174" s="4">
        <v>8123.84</v>
      </c>
      <c r="G174" s="4">
        <v>0</v>
      </c>
      <c r="H174" s="4"/>
      <c r="I174" s="27">
        <v>5129</v>
      </c>
      <c r="J174" s="4">
        <v>4108</v>
      </c>
      <c r="L174" s="27"/>
      <c r="M174" s="4"/>
      <c r="N174" s="4">
        <v>12531.6</v>
      </c>
      <c r="O174" s="4">
        <v>10343.200000000001</v>
      </c>
      <c r="P174" s="4">
        <v>67754.14</v>
      </c>
      <c r="Q174" s="41">
        <v>52092</v>
      </c>
      <c r="R174" s="48"/>
      <c r="S174" s="48"/>
    </row>
    <row r="175" spans="1:19" s="23" customFormat="1" x14ac:dyDescent="0.35">
      <c r="A175" s="12">
        <v>157</v>
      </c>
      <c r="B175" s="1" t="s">
        <v>91</v>
      </c>
      <c r="C175" s="4">
        <v>1852</v>
      </c>
      <c r="D175" s="4">
        <v>1800</v>
      </c>
      <c r="E175" s="33"/>
      <c r="F175" s="4"/>
      <c r="G175" s="4"/>
      <c r="H175" s="4"/>
      <c r="I175" s="27"/>
      <c r="J175" s="4"/>
      <c r="L175" s="27"/>
      <c r="M175" s="4"/>
      <c r="N175" s="4"/>
      <c r="O175" s="4"/>
      <c r="P175" s="4"/>
      <c r="Q175" s="41"/>
      <c r="R175" s="48"/>
      <c r="S175" s="48"/>
    </row>
    <row r="176" spans="1:19" s="23" customFormat="1" x14ac:dyDescent="0.35">
      <c r="A176" s="12">
        <v>158</v>
      </c>
      <c r="B176" s="1" t="s">
        <v>246</v>
      </c>
      <c r="C176" s="4"/>
      <c r="D176" s="4"/>
      <c r="E176" s="33"/>
      <c r="F176" s="4"/>
      <c r="G176" s="4"/>
      <c r="H176" s="4"/>
      <c r="I176" s="27">
        <v>4090.87</v>
      </c>
      <c r="J176" s="4">
        <v>4090.87</v>
      </c>
      <c r="L176" s="27"/>
      <c r="M176" s="4"/>
      <c r="N176" s="4"/>
      <c r="O176" s="4"/>
      <c r="P176" s="4"/>
      <c r="Q176" s="41"/>
      <c r="R176" s="48"/>
      <c r="S176" s="48"/>
    </row>
    <row r="177" spans="1:19" s="23" customFormat="1" x14ac:dyDescent="0.35">
      <c r="A177" s="12">
        <v>159</v>
      </c>
      <c r="B177" s="1" t="s">
        <v>92</v>
      </c>
      <c r="C177" s="4">
        <v>15500</v>
      </c>
      <c r="D177" s="4">
        <v>12800</v>
      </c>
      <c r="E177" s="33"/>
      <c r="F177" s="4"/>
      <c r="G177" s="4"/>
      <c r="H177" s="4"/>
      <c r="I177" s="27">
        <v>5429.4</v>
      </c>
      <c r="J177" s="4">
        <v>1668.95</v>
      </c>
      <c r="L177" s="27">
        <v>6941.33</v>
      </c>
      <c r="M177" s="4">
        <v>1150.8399999999999</v>
      </c>
      <c r="N177" s="4">
        <v>8365.69</v>
      </c>
      <c r="O177" s="4">
        <v>2575.1999999999998</v>
      </c>
      <c r="P177" s="4">
        <v>3881.39</v>
      </c>
      <c r="Q177" s="41">
        <v>3881.39</v>
      </c>
      <c r="R177" s="48">
        <v>21229</v>
      </c>
      <c r="S177" s="48">
        <v>19949</v>
      </c>
    </row>
    <row r="178" spans="1:19" s="23" customFormat="1" x14ac:dyDescent="0.35">
      <c r="A178" s="12">
        <v>160</v>
      </c>
      <c r="B178" s="1" t="s">
        <v>93</v>
      </c>
      <c r="C178" s="4">
        <v>6200</v>
      </c>
      <c r="D178" s="4">
        <v>4375</v>
      </c>
      <c r="E178" s="33"/>
      <c r="F178" s="4"/>
      <c r="G178" s="4"/>
      <c r="H178" s="4"/>
      <c r="I178" s="27"/>
      <c r="J178" s="4"/>
      <c r="L178" s="27"/>
      <c r="M178" s="4"/>
      <c r="N178" s="4"/>
      <c r="O178" s="4"/>
      <c r="P178" s="4"/>
      <c r="Q178" s="41"/>
      <c r="R178" s="48"/>
      <c r="S178" s="48"/>
    </row>
    <row r="179" spans="1:19" s="23" customFormat="1" x14ac:dyDescent="0.35">
      <c r="A179" s="12">
        <v>161</v>
      </c>
      <c r="B179" s="1" t="s">
        <v>94</v>
      </c>
      <c r="C179" s="4">
        <v>17100</v>
      </c>
      <c r="D179" s="4">
        <v>13950</v>
      </c>
      <c r="E179" s="33"/>
      <c r="F179" s="4"/>
      <c r="G179" s="4"/>
      <c r="H179" s="4"/>
      <c r="I179" s="27"/>
      <c r="J179" s="4"/>
      <c r="L179" s="27"/>
      <c r="M179" s="4"/>
      <c r="N179" s="4"/>
      <c r="O179" s="4"/>
      <c r="P179" s="4"/>
      <c r="Q179" s="41"/>
      <c r="R179" s="48"/>
      <c r="S179" s="48"/>
    </row>
    <row r="180" spans="1:19" s="23" customFormat="1" x14ac:dyDescent="0.35">
      <c r="A180" s="12">
        <v>162</v>
      </c>
      <c r="B180" s="1" t="s">
        <v>188</v>
      </c>
      <c r="C180" s="11"/>
      <c r="D180" s="11"/>
      <c r="E180" s="32"/>
      <c r="F180" s="2">
        <v>24341.03</v>
      </c>
      <c r="G180" s="2">
        <v>24341.03</v>
      </c>
      <c r="H180" s="2"/>
      <c r="I180" s="27"/>
      <c r="J180" s="2"/>
      <c r="L180" s="27"/>
      <c r="M180" s="2"/>
      <c r="N180" s="2"/>
      <c r="O180" s="2"/>
      <c r="P180" s="2"/>
      <c r="Q180" s="48"/>
      <c r="R180" s="48">
        <v>133101.71</v>
      </c>
      <c r="S180" s="48">
        <v>27813.56</v>
      </c>
    </row>
    <row r="181" spans="1:19" s="23" customFormat="1" x14ac:dyDescent="0.35">
      <c r="A181" s="12">
        <v>163</v>
      </c>
      <c r="B181" s="1" t="s">
        <v>95</v>
      </c>
      <c r="C181" s="4">
        <v>131718.70000000001</v>
      </c>
      <c r="D181" s="4">
        <v>73783</v>
      </c>
      <c r="E181" s="33"/>
      <c r="F181" s="4"/>
      <c r="G181" s="4"/>
      <c r="H181" s="4"/>
      <c r="I181" s="27">
        <v>313489</v>
      </c>
      <c r="J181" s="4">
        <v>62095.55</v>
      </c>
      <c r="L181" s="27"/>
      <c r="M181" s="4"/>
      <c r="N181" s="4"/>
      <c r="O181" s="4"/>
      <c r="P181" s="4"/>
      <c r="Q181" s="41"/>
      <c r="R181" s="48">
        <v>58854.7</v>
      </c>
      <c r="S181" s="48">
        <v>49103</v>
      </c>
    </row>
    <row r="182" spans="1:19" s="23" customFormat="1" x14ac:dyDescent="0.35">
      <c r="A182" s="12">
        <v>164</v>
      </c>
      <c r="B182" s="1" t="s">
        <v>96</v>
      </c>
      <c r="C182" s="4">
        <v>29615</v>
      </c>
      <c r="D182" s="4">
        <v>13485</v>
      </c>
      <c r="E182" s="33"/>
      <c r="F182" s="4"/>
      <c r="G182" s="4"/>
      <c r="H182" s="4"/>
      <c r="I182" s="27"/>
      <c r="J182" s="4"/>
      <c r="L182" s="27"/>
      <c r="M182" s="4"/>
      <c r="N182" s="4"/>
      <c r="O182" s="4"/>
      <c r="P182" s="4"/>
      <c r="Q182" s="41"/>
      <c r="R182" s="48"/>
      <c r="S182" s="48"/>
    </row>
    <row r="183" spans="1:19" s="23" customFormat="1" x14ac:dyDescent="0.35">
      <c r="A183" s="12">
        <v>165</v>
      </c>
      <c r="B183" s="1" t="s">
        <v>97</v>
      </c>
      <c r="C183" s="4">
        <v>57255.38</v>
      </c>
      <c r="D183" s="4">
        <v>27289.71</v>
      </c>
      <c r="E183" s="33"/>
      <c r="F183" s="4"/>
      <c r="G183" s="4"/>
      <c r="H183" s="4"/>
      <c r="I183" s="27"/>
      <c r="J183" s="4"/>
      <c r="L183" s="27">
        <v>17435.77</v>
      </c>
      <c r="M183" s="4">
        <v>12555.88</v>
      </c>
      <c r="N183" s="4"/>
      <c r="O183" s="4"/>
      <c r="P183" s="4"/>
      <c r="Q183" s="41"/>
      <c r="R183" s="48"/>
      <c r="S183" s="48"/>
    </row>
    <row r="184" spans="1:19" s="23" customFormat="1" x14ac:dyDescent="0.35">
      <c r="A184" s="12">
        <v>166</v>
      </c>
      <c r="B184" s="1" t="s">
        <v>98</v>
      </c>
      <c r="C184" s="4">
        <v>284794.19</v>
      </c>
      <c r="D184" s="4">
        <v>58200</v>
      </c>
      <c r="E184" s="33"/>
      <c r="F184" s="4"/>
      <c r="G184" s="4"/>
      <c r="H184" s="4"/>
      <c r="I184" s="27"/>
      <c r="J184" s="4"/>
      <c r="L184" s="27">
        <v>172925.42</v>
      </c>
      <c r="M184" s="4">
        <v>67584.95</v>
      </c>
      <c r="N184" s="4">
        <v>123319.75</v>
      </c>
      <c r="O184" s="4">
        <v>60189.64</v>
      </c>
      <c r="P184" s="4">
        <v>266567.2</v>
      </c>
      <c r="Q184" s="41">
        <v>85146.5</v>
      </c>
      <c r="R184" s="48">
        <v>266567.24</v>
      </c>
      <c r="S184" s="48">
        <v>266567.24</v>
      </c>
    </row>
    <row r="185" spans="1:19" s="23" customFormat="1" x14ac:dyDescent="0.35">
      <c r="A185" s="12">
        <v>167</v>
      </c>
      <c r="B185" s="1" t="s">
        <v>99</v>
      </c>
      <c r="C185" s="4">
        <v>150000</v>
      </c>
      <c r="D185" s="4">
        <v>118000</v>
      </c>
      <c r="E185" s="33"/>
      <c r="F185" s="4">
        <v>40500</v>
      </c>
      <c r="G185" s="4">
        <v>0</v>
      </c>
      <c r="H185" s="4"/>
      <c r="I185" s="27">
        <v>44500</v>
      </c>
      <c r="J185" s="4">
        <v>44100</v>
      </c>
      <c r="L185" s="27">
        <v>40500</v>
      </c>
      <c r="M185" s="4">
        <v>40500</v>
      </c>
      <c r="N185" s="4">
        <v>43335</v>
      </c>
      <c r="O185" s="4">
        <v>43335</v>
      </c>
      <c r="P185" s="4">
        <v>43335</v>
      </c>
      <c r="Q185" s="41">
        <v>43335</v>
      </c>
      <c r="R185" s="48">
        <v>43335</v>
      </c>
      <c r="S185" s="48">
        <v>43335</v>
      </c>
    </row>
    <row r="186" spans="1:19" s="23" customFormat="1" x14ac:dyDescent="0.35">
      <c r="A186" s="12">
        <v>168</v>
      </c>
      <c r="B186" s="1" t="s">
        <v>100</v>
      </c>
      <c r="C186" s="4">
        <v>74630</v>
      </c>
      <c r="D186" s="4">
        <v>48000</v>
      </c>
      <c r="E186" s="33"/>
      <c r="F186" s="4">
        <v>18784.439999999999</v>
      </c>
      <c r="G186" s="4">
        <v>0</v>
      </c>
      <c r="H186" s="4"/>
      <c r="I186" s="27">
        <v>18784.439999999999</v>
      </c>
      <c r="J186" s="4">
        <v>7119.44</v>
      </c>
      <c r="L186" s="27"/>
      <c r="M186" s="4"/>
      <c r="N186" s="4">
        <v>159081.13</v>
      </c>
      <c r="O186" s="4">
        <v>60189.65</v>
      </c>
      <c r="P186" s="4"/>
      <c r="Q186" s="41"/>
      <c r="R186" s="48"/>
      <c r="S186" s="48"/>
    </row>
    <row r="187" spans="1:19" s="23" customFormat="1" x14ac:dyDescent="0.35">
      <c r="A187" s="12">
        <v>169</v>
      </c>
      <c r="B187" s="1" t="s">
        <v>267</v>
      </c>
      <c r="C187" s="4"/>
      <c r="D187" s="4"/>
      <c r="E187" s="33"/>
      <c r="F187" s="4"/>
      <c r="G187" s="4"/>
      <c r="H187" s="4"/>
      <c r="I187" s="27"/>
      <c r="J187" s="4"/>
      <c r="L187" s="27">
        <v>12370.32</v>
      </c>
      <c r="M187" s="4">
        <v>9162.7199999999993</v>
      </c>
      <c r="N187" s="4"/>
      <c r="O187" s="4"/>
      <c r="P187" s="4"/>
      <c r="Q187" s="41"/>
      <c r="R187" s="48"/>
      <c r="S187" s="48"/>
    </row>
    <row r="188" spans="1:19" s="23" customFormat="1" x14ac:dyDescent="0.35">
      <c r="A188" s="12">
        <v>170</v>
      </c>
      <c r="B188" s="1" t="s">
        <v>101</v>
      </c>
      <c r="C188" s="4">
        <v>13440.04</v>
      </c>
      <c r="D188" s="4">
        <v>2400</v>
      </c>
      <c r="E188" s="33"/>
      <c r="F188" s="4"/>
      <c r="G188" s="4"/>
      <c r="H188" s="4"/>
      <c r="I188" s="27"/>
      <c r="J188" s="4"/>
      <c r="L188" s="27"/>
      <c r="M188" s="4"/>
      <c r="N188" s="4"/>
      <c r="O188" s="4"/>
      <c r="P188" s="4"/>
      <c r="Q188" s="41"/>
      <c r="R188" s="48"/>
      <c r="S188" s="48"/>
    </row>
    <row r="189" spans="1:19" s="23" customFormat="1" x14ac:dyDescent="0.35">
      <c r="A189" s="12">
        <v>171</v>
      </c>
      <c r="B189" s="1" t="s">
        <v>247</v>
      </c>
      <c r="C189" s="4"/>
      <c r="D189" s="4"/>
      <c r="E189" s="33"/>
      <c r="F189" s="4"/>
      <c r="G189" s="4"/>
      <c r="H189" s="4"/>
      <c r="I189" s="27">
        <v>7461</v>
      </c>
      <c r="J189" s="4">
        <v>5465</v>
      </c>
      <c r="L189" s="27"/>
      <c r="M189" s="4"/>
      <c r="N189" s="4"/>
      <c r="O189" s="4"/>
      <c r="P189" s="4"/>
      <c r="Q189" s="41"/>
      <c r="R189" s="48"/>
      <c r="S189" s="48"/>
    </row>
    <row r="190" spans="1:19" s="23" customFormat="1" x14ac:dyDescent="0.35">
      <c r="A190" s="12">
        <v>172</v>
      </c>
      <c r="B190" s="1" t="s">
        <v>1</v>
      </c>
      <c r="C190" s="4">
        <v>275000</v>
      </c>
      <c r="D190" s="4">
        <v>137500</v>
      </c>
      <c r="E190" s="33"/>
      <c r="F190" s="4">
        <v>142390</v>
      </c>
      <c r="G190" s="4">
        <v>0</v>
      </c>
      <c r="H190" s="4"/>
      <c r="I190" s="27">
        <v>157390</v>
      </c>
      <c r="J190" s="4">
        <v>20714.66</v>
      </c>
      <c r="L190" s="27">
        <v>161676</v>
      </c>
      <c r="M190" s="4">
        <v>32830.33</v>
      </c>
      <c r="N190" s="4">
        <v>528291.91</v>
      </c>
      <c r="O190" s="4">
        <v>17228.72</v>
      </c>
      <c r="P190" s="4">
        <v>27269.58</v>
      </c>
      <c r="Q190" s="41">
        <v>27269.58</v>
      </c>
      <c r="R190" s="48">
        <v>531919.03</v>
      </c>
      <c r="S190" s="48">
        <v>495157.43</v>
      </c>
    </row>
    <row r="191" spans="1:19" s="23" customFormat="1" x14ac:dyDescent="0.35">
      <c r="A191" s="12">
        <v>173</v>
      </c>
      <c r="B191" s="1" t="s">
        <v>102</v>
      </c>
      <c r="C191" s="4">
        <v>57532.959999999999</v>
      </c>
      <c r="D191" s="4">
        <v>29124.27</v>
      </c>
      <c r="E191" s="33"/>
      <c r="F191" s="4"/>
      <c r="G191" s="4"/>
      <c r="H191" s="4"/>
      <c r="I191" s="27">
        <v>38641</v>
      </c>
      <c r="J191" s="4">
        <v>22040.5</v>
      </c>
      <c r="L191" s="27"/>
      <c r="M191" s="4"/>
      <c r="N191" s="4"/>
      <c r="O191" s="4"/>
      <c r="P191" s="4"/>
      <c r="Q191" s="41"/>
      <c r="R191" s="48">
        <v>18640</v>
      </c>
      <c r="S191" s="48">
        <v>17440</v>
      </c>
    </row>
    <row r="192" spans="1:19" s="23" customFormat="1" x14ac:dyDescent="0.35">
      <c r="A192" s="12">
        <v>174</v>
      </c>
      <c r="B192" s="1" t="s">
        <v>103</v>
      </c>
      <c r="C192" s="4">
        <v>194272.15</v>
      </c>
      <c r="D192" s="4">
        <v>82339</v>
      </c>
      <c r="E192" s="33"/>
      <c r="F192" s="4"/>
      <c r="G192" s="4"/>
      <c r="H192" s="4"/>
      <c r="I192" s="27"/>
      <c r="J192" s="4"/>
      <c r="L192" s="27"/>
      <c r="M192" s="4"/>
      <c r="N192" s="4"/>
      <c r="O192" s="4"/>
      <c r="P192" s="4"/>
      <c r="Q192" s="41"/>
      <c r="R192" s="48"/>
      <c r="S192" s="48"/>
    </row>
    <row r="193" spans="1:19" s="23" customFormat="1" x14ac:dyDescent="0.35">
      <c r="A193" s="12">
        <v>175</v>
      </c>
      <c r="B193" s="1" t="s">
        <v>189</v>
      </c>
      <c r="C193" s="11"/>
      <c r="D193" s="11"/>
      <c r="E193" s="32"/>
      <c r="F193" s="2">
        <v>64732.22</v>
      </c>
      <c r="G193" s="2">
        <v>52178.17</v>
      </c>
      <c r="H193" s="2"/>
      <c r="I193" s="27"/>
      <c r="J193" s="2"/>
      <c r="L193" s="27"/>
      <c r="M193" s="2"/>
      <c r="N193" s="2"/>
      <c r="O193" s="2"/>
      <c r="P193" s="2"/>
      <c r="Q193" s="48"/>
      <c r="R193" s="48"/>
      <c r="S193" s="48"/>
    </row>
    <row r="194" spans="1:19" s="23" customFormat="1" x14ac:dyDescent="0.35">
      <c r="A194" s="12">
        <v>176</v>
      </c>
      <c r="B194" s="1" t="s">
        <v>104</v>
      </c>
      <c r="C194" s="4">
        <v>3747.9</v>
      </c>
      <c r="D194" s="4">
        <v>2650.5</v>
      </c>
      <c r="E194" s="33"/>
      <c r="F194" s="4"/>
      <c r="G194" s="4"/>
      <c r="H194" s="4"/>
      <c r="I194" s="27"/>
      <c r="J194" s="4"/>
      <c r="L194" s="27">
        <v>2179.59</v>
      </c>
      <c r="M194" s="4">
        <v>2119.59</v>
      </c>
      <c r="N194" s="4"/>
      <c r="O194" s="4"/>
      <c r="P194" s="4"/>
      <c r="Q194" s="41"/>
      <c r="R194" s="48"/>
      <c r="S194" s="48"/>
    </row>
    <row r="195" spans="1:19" s="23" customFormat="1" x14ac:dyDescent="0.35">
      <c r="A195" s="12">
        <v>177</v>
      </c>
      <c r="B195" s="1" t="s">
        <v>105</v>
      </c>
      <c r="C195" s="4">
        <v>64230.1</v>
      </c>
      <c r="D195" s="4">
        <v>35144.82</v>
      </c>
      <c r="E195" s="33"/>
      <c r="F195" s="4">
        <v>73802.820000000007</v>
      </c>
      <c r="G195" s="4">
        <v>0</v>
      </c>
      <c r="H195" s="4"/>
      <c r="I195" s="27"/>
      <c r="J195" s="4"/>
      <c r="L195" s="27">
        <v>34359.629999999997</v>
      </c>
      <c r="M195" s="4">
        <v>34359.629999999997</v>
      </c>
      <c r="N195" s="4">
        <v>42688.32</v>
      </c>
      <c r="O195" s="4">
        <v>42688.32</v>
      </c>
      <c r="P195" s="4">
        <v>42688.32</v>
      </c>
      <c r="Q195" s="41">
        <v>42688.32</v>
      </c>
      <c r="R195" s="48">
        <v>190371.26</v>
      </c>
      <c r="S195" s="48">
        <v>190371.26</v>
      </c>
    </row>
    <row r="196" spans="1:19" s="23" customFormat="1" x14ac:dyDescent="0.35">
      <c r="A196" s="12">
        <v>178</v>
      </c>
      <c r="B196" s="1" t="s">
        <v>268</v>
      </c>
      <c r="C196" s="4"/>
      <c r="D196" s="4"/>
      <c r="E196" s="33"/>
      <c r="F196" s="4"/>
      <c r="G196" s="4"/>
      <c r="H196" s="4"/>
      <c r="I196" s="27"/>
      <c r="J196" s="4"/>
      <c r="L196" s="27">
        <v>16731</v>
      </c>
      <c r="M196" s="4">
        <v>16281.6</v>
      </c>
      <c r="N196" s="4"/>
      <c r="O196" s="4"/>
      <c r="P196" s="4"/>
      <c r="Q196" s="41"/>
      <c r="R196" s="48"/>
      <c r="S196" s="48"/>
    </row>
    <row r="197" spans="1:19" s="23" customFormat="1" x14ac:dyDescent="0.35">
      <c r="A197" s="12">
        <v>179</v>
      </c>
      <c r="B197" s="1" t="s">
        <v>190</v>
      </c>
      <c r="C197" s="11"/>
      <c r="D197" s="11"/>
      <c r="E197" s="32"/>
      <c r="F197" s="2">
        <v>371307</v>
      </c>
      <c r="G197" s="2">
        <v>97500</v>
      </c>
      <c r="H197" s="2"/>
      <c r="I197" s="27">
        <v>266830.7</v>
      </c>
      <c r="J197" s="2">
        <v>33695</v>
      </c>
      <c r="L197" s="27"/>
      <c r="M197" s="2"/>
      <c r="N197" s="2"/>
      <c r="O197" s="2"/>
      <c r="P197" s="2">
        <v>183635.5</v>
      </c>
      <c r="Q197" s="48">
        <v>85146.51</v>
      </c>
      <c r="R197" s="48"/>
      <c r="S197" s="48"/>
    </row>
    <row r="198" spans="1:19" s="23" customFormat="1" x14ac:dyDescent="0.35">
      <c r="A198" s="12">
        <v>180</v>
      </c>
      <c r="B198" s="1" t="s">
        <v>106</v>
      </c>
      <c r="C198" s="4">
        <v>103155.12</v>
      </c>
      <c r="D198" s="4">
        <v>78348</v>
      </c>
      <c r="E198" s="33"/>
      <c r="F198" s="4"/>
      <c r="G198" s="4"/>
      <c r="H198" s="4"/>
      <c r="I198" s="27"/>
      <c r="J198" s="4"/>
      <c r="L198" s="27">
        <v>98799</v>
      </c>
      <c r="M198" s="4">
        <v>51799</v>
      </c>
      <c r="N198" s="4">
        <v>88495.8</v>
      </c>
      <c r="O198" s="4">
        <v>45389.4</v>
      </c>
      <c r="P198" s="4">
        <v>42495.51</v>
      </c>
      <c r="Q198" s="41">
        <v>42495.51</v>
      </c>
      <c r="R198" s="48"/>
      <c r="S198" s="48"/>
    </row>
    <row r="199" spans="1:19" s="23" customFormat="1" x14ac:dyDescent="0.35">
      <c r="A199" s="12">
        <v>181</v>
      </c>
      <c r="B199" s="1" t="s">
        <v>107</v>
      </c>
      <c r="C199" s="4">
        <v>4761.76</v>
      </c>
      <c r="D199" s="4">
        <v>4459</v>
      </c>
      <c r="E199" s="33"/>
      <c r="F199" s="4"/>
      <c r="G199" s="4"/>
      <c r="H199" s="4"/>
      <c r="I199" s="27"/>
      <c r="J199" s="4"/>
      <c r="L199" s="27"/>
      <c r="M199" s="4"/>
      <c r="N199" s="4"/>
      <c r="O199" s="4"/>
      <c r="P199" s="4"/>
      <c r="Q199" s="41"/>
      <c r="R199" s="48"/>
      <c r="S199" s="48"/>
    </row>
    <row r="200" spans="1:19" s="23" customFormat="1" x14ac:dyDescent="0.35">
      <c r="A200" s="12">
        <v>182</v>
      </c>
      <c r="B200" s="7" t="s">
        <v>248</v>
      </c>
      <c r="C200" s="4"/>
      <c r="D200" s="4"/>
      <c r="E200" s="33"/>
      <c r="F200" s="4"/>
      <c r="G200" s="4"/>
      <c r="H200" s="4"/>
      <c r="I200" s="27">
        <v>13334.23</v>
      </c>
      <c r="J200" s="4">
        <v>9614.23</v>
      </c>
      <c r="L200" s="27"/>
      <c r="M200" s="4"/>
      <c r="N200" s="4"/>
      <c r="O200" s="4"/>
      <c r="P200" s="4">
        <v>13040</v>
      </c>
      <c r="Q200" s="41">
        <v>8910</v>
      </c>
      <c r="R200" s="48">
        <v>5173.04</v>
      </c>
      <c r="S200" s="48">
        <v>5173.04</v>
      </c>
    </row>
    <row r="201" spans="1:19" s="23" customFormat="1" x14ac:dyDescent="0.35">
      <c r="A201" s="12">
        <v>183</v>
      </c>
      <c r="B201" s="7" t="s">
        <v>109</v>
      </c>
      <c r="C201" s="4">
        <v>4104.88</v>
      </c>
      <c r="D201" s="33">
        <v>3349.88</v>
      </c>
      <c r="E201" s="33"/>
      <c r="F201" s="4"/>
      <c r="G201" s="4"/>
      <c r="H201" s="4"/>
      <c r="I201" s="27"/>
      <c r="J201" s="4"/>
      <c r="L201" s="27"/>
      <c r="M201" s="4"/>
      <c r="N201" s="4"/>
      <c r="O201" s="4"/>
      <c r="P201" s="4">
        <v>9497.44</v>
      </c>
      <c r="Q201" s="41">
        <v>9065.0400000000009</v>
      </c>
      <c r="R201" s="48"/>
      <c r="S201" s="48"/>
    </row>
    <row r="202" spans="1:19" s="23" customFormat="1" x14ac:dyDescent="0.35">
      <c r="A202" s="12">
        <v>184</v>
      </c>
      <c r="B202" s="1" t="s">
        <v>191</v>
      </c>
      <c r="C202" s="11"/>
      <c r="D202" s="11"/>
      <c r="E202" s="32"/>
      <c r="F202" s="2">
        <v>8401.59</v>
      </c>
      <c r="G202" s="2">
        <v>8401.59</v>
      </c>
      <c r="H202" s="2"/>
      <c r="I202" s="27"/>
      <c r="J202" s="2"/>
      <c r="L202" s="27"/>
      <c r="M202" s="2"/>
      <c r="N202" s="2"/>
      <c r="O202" s="2"/>
      <c r="P202" s="2"/>
      <c r="Q202" s="48"/>
      <c r="R202" s="48"/>
      <c r="S202" s="48"/>
    </row>
    <row r="203" spans="1:19" s="23" customFormat="1" x14ac:dyDescent="0.35">
      <c r="A203" s="12">
        <v>185</v>
      </c>
      <c r="B203" s="1" t="s">
        <v>108</v>
      </c>
      <c r="C203" s="4">
        <v>20824</v>
      </c>
      <c r="D203" s="4">
        <v>15689</v>
      </c>
      <c r="E203" s="33"/>
      <c r="F203" s="4">
        <v>73844.36</v>
      </c>
      <c r="G203" s="4">
        <v>0</v>
      </c>
      <c r="H203" s="4"/>
      <c r="I203" s="27">
        <v>2155.62</v>
      </c>
      <c r="J203" s="4">
        <v>2155.62</v>
      </c>
      <c r="L203" s="27"/>
      <c r="M203" s="4"/>
      <c r="N203" s="4"/>
      <c r="O203" s="4"/>
      <c r="P203" s="4"/>
      <c r="Q203" s="41"/>
      <c r="R203" s="48"/>
      <c r="S203" s="48"/>
    </row>
    <row r="204" spans="1:19" s="23" customFormat="1" x14ac:dyDescent="0.35">
      <c r="A204" s="12">
        <v>186</v>
      </c>
      <c r="B204" s="1" t="s">
        <v>110</v>
      </c>
      <c r="C204" s="4">
        <v>8660</v>
      </c>
      <c r="D204" s="4">
        <v>6990</v>
      </c>
      <c r="E204" s="33"/>
      <c r="F204" s="4"/>
      <c r="G204" s="4"/>
      <c r="H204" s="4"/>
      <c r="I204" s="27"/>
      <c r="J204" s="4"/>
      <c r="L204" s="27">
        <v>6278.76</v>
      </c>
      <c r="M204" s="4">
        <v>6278.76</v>
      </c>
      <c r="N204" s="4"/>
      <c r="O204" s="4"/>
      <c r="P204" s="4">
        <v>21058.16</v>
      </c>
      <c r="Q204" s="41">
        <v>16443.25</v>
      </c>
      <c r="R204" s="48">
        <v>5316.74</v>
      </c>
      <c r="S204" s="48">
        <v>4628.57</v>
      </c>
    </row>
    <row r="205" spans="1:19" s="23" customFormat="1" x14ac:dyDescent="0.35">
      <c r="A205" s="12">
        <v>187</v>
      </c>
      <c r="B205" s="1" t="s">
        <v>111</v>
      </c>
      <c r="C205" s="4">
        <v>116404</v>
      </c>
      <c r="D205" s="4">
        <v>109023</v>
      </c>
      <c r="E205" s="33"/>
      <c r="F205" s="4"/>
      <c r="G205" s="4"/>
      <c r="H205" s="4"/>
      <c r="I205" s="27"/>
      <c r="J205" s="4"/>
      <c r="L205" s="27"/>
      <c r="M205" s="4"/>
      <c r="N205" s="4">
        <v>20615.509999999998</v>
      </c>
      <c r="O205" s="4">
        <v>18705.560000000001</v>
      </c>
      <c r="P205" s="4"/>
      <c r="Q205" s="41"/>
      <c r="R205" s="48"/>
      <c r="S205" s="48"/>
    </row>
    <row r="206" spans="1:19" s="23" customFormat="1" x14ac:dyDescent="0.35">
      <c r="A206" s="12">
        <v>188</v>
      </c>
      <c r="B206" s="1" t="s">
        <v>112</v>
      </c>
      <c r="C206" s="4">
        <v>5061.08</v>
      </c>
      <c r="D206" s="4">
        <v>4073</v>
      </c>
      <c r="E206" s="33"/>
      <c r="F206" s="4"/>
      <c r="G206" s="4"/>
      <c r="H206" s="4"/>
      <c r="I206" s="27"/>
      <c r="J206" s="4"/>
      <c r="L206" s="27">
        <v>3739.65</v>
      </c>
      <c r="M206" s="4">
        <v>3210</v>
      </c>
      <c r="N206" s="4"/>
      <c r="O206" s="4"/>
      <c r="P206" s="4"/>
      <c r="Q206" s="41"/>
      <c r="R206" s="48"/>
      <c r="S206" s="48"/>
    </row>
    <row r="207" spans="1:19" s="23" customFormat="1" x14ac:dyDescent="0.35">
      <c r="A207" s="12">
        <v>189</v>
      </c>
      <c r="B207" s="1" t="s">
        <v>113</v>
      </c>
      <c r="C207" s="4">
        <v>10000</v>
      </c>
      <c r="D207" s="4">
        <v>7300</v>
      </c>
      <c r="E207" s="33"/>
      <c r="F207" s="4"/>
      <c r="G207" s="4"/>
      <c r="H207" s="4"/>
      <c r="I207" s="27">
        <v>12890</v>
      </c>
      <c r="J207" s="4">
        <v>10000</v>
      </c>
      <c r="L207" s="27"/>
      <c r="M207" s="4"/>
      <c r="N207" s="4"/>
      <c r="O207" s="4"/>
      <c r="P207" s="4">
        <v>26174</v>
      </c>
      <c r="Q207" s="41">
        <v>14174</v>
      </c>
      <c r="R207" s="48"/>
      <c r="S207" s="48"/>
    </row>
    <row r="208" spans="1:19" s="23" customFormat="1" x14ac:dyDescent="0.35">
      <c r="A208" s="12">
        <v>190</v>
      </c>
      <c r="B208" s="1" t="s">
        <v>114</v>
      </c>
      <c r="C208" s="4">
        <v>16480</v>
      </c>
      <c r="D208" s="4">
        <v>9500</v>
      </c>
      <c r="E208" s="33"/>
      <c r="F208" s="4"/>
      <c r="G208" s="4"/>
      <c r="H208" s="4"/>
      <c r="I208" s="27"/>
      <c r="J208" s="4"/>
      <c r="L208" s="27"/>
      <c r="M208" s="4"/>
      <c r="N208" s="4">
        <v>4868.5</v>
      </c>
      <c r="O208" s="4">
        <v>3290.25</v>
      </c>
      <c r="P208" s="4"/>
      <c r="Q208" s="41"/>
      <c r="R208" s="48"/>
      <c r="S208" s="48"/>
    </row>
    <row r="209" spans="1:19" s="23" customFormat="1" x14ac:dyDescent="0.35">
      <c r="A209" s="12">
        <v>191</v>
      </c>
      <c r="B209" s="1" t="s">
        <v>192</v>
      </c>
      <c r="C209" s="11"/>
      <c r="D209" s="11"/>
      <c r="E209" s="32"/>
      <c r="F209" s="2">
        <v>13214</v>
      </c>
      <c r="G209" s="2">
        <v>13000</v>
      </c>
      <c r="H209" s="2"/>
      <c r="I209" s="27"/>
      <c r="J209" s="2"/>
      <c r="L209" s="27">
        <v>495</v>
      </c>
      <c r="M209" s="2">
        <v>494</v>
      </c>
      <c r="N209" s="2">
        <v>889.87</v>
      </c>
      <c r="O209" s="2">
        <v>889.87</v>
      </c>
      <c r="P209" s="2">
        <v>20103.009999999998</v>
      </c>
      <c r="Q209" s="48">
        <v>20103.009999999998</v>
      </c>
      <c r="R209" s="48">
        <v>5200</v>
      </c>
      <c r="S209" s="48">
        <v>4420</v>
      </c>
    </row>
    <row r="210" spans="1:19" s="23" customFormat="1" x14ac:dyDescent="0.35">
      <c r="A210" s="12">
        <v>192</v>
      </c>
      <c r="B210" s="1" t="s">
        <v>193</v>
      </c>
      <c r="C210" s="11"/>
      <c r="D210" s="11"/>
      <c r="E210" s="32"/>
      <c r="F210" s="2">
        <v>7528.22</v>
      </c>
      <c r="G210" s="2">
        <v>7528.22</v>
      </c>
      <c r="H210" s="2"/>
      <c r="I210" s="27"/>
      <c r="J210" s="2"/>
      <c r="L210" s="27"/>
      <c r="M210" s="2"/>
      <c r="N210" s="2">
        <v>11600</v>
      </c>
      <c r="O210" s="2">
        <v>11600</v>
      </c>
      <c r="P210" s="2"/>
      <c r="Q210" s="48"/>
      <c r="R210" s="48"/>
      <c r="S210" s="48"/>
    </row>
    <row r="211" spans="1:19" x14ac:dyDescent="0.35">
      <c r="A211" s="12">
        <v>193</v>
      </c>
      <c r="B211" s="9" t="s">
        <v>115</v>
      </c>
      <c r="C211" s="18">
        <v>22922.86</v>
      </c>
      <c r="D211" s="18">
        <v>11752.86</v>
      </c>
      <c r="E211" s="33"/>
      <c r="F211" s="18"/>
      <c r="G211" s="4"/>
      <c r="H211" s="18"/>
      <c r="I211" s="29"/>
      <c r="J211" s="4"/>
      <c r="L211" s="27"/>
      <c r="M211" s="4"/>
      <c r="N211" s="4"/>
      <c r="O211" s="4"/>
      <c r="P211" s="4"/>
      <c r="Q211" s="41"/>
      <c r="R211" s="48"/>
      <c r="S211" s="48"/>
    </row>
    <row r="212" spans="1:19" x14ac:dyDescent="0.35">
      <c r="A212" s="12">
        <v>194</v>
      </c>
      <c r="B212" s="1" t="s">
        <v>194</v>
      </c>
      <c r="C212" s="11"/>
      <c r="D212" s="11"/>
      <c r="E212" s="32"/>
      <c r="F212" s="2">
        <v>1208</v>
      </c>
      <c r="G212" s="2">
        <v>718.79</v>
      </c>
      <c r="H212" s="2"/>
      <c r="I212" s="27"/>
      <c r="J212" s="2"/>
      <c r="L212" s="27"/>
      <c r="M212" s="2"/>
      <c r="N212" s="2"/>
      <c r="O212" s="2"/>
      <c r="P212" s="2"/>
      <c r="Q212" s="48"/>
      <c r="R212" s="48"/>
      <c r="S212" s="48"/>
    </row>
    <row r="213" spans="1:19" x14ac:dyDescent="0.35">
      <c r="A213" s="12">
        <v>195</v>
      </c>
      <c r="B213" s="1" t="s">
        <v>116</v>
      </c>
      <c r="C213" s="4">
        <v>728400</v>
      </c>
      <c r="D213" s="4">
        <v>132000</v>
      </c>
      <c r="E213" s="33"/>
      <c r="F213" s="4">
        <v>418668</v>
      </c>
      <c r="G213" s="4">
        <v>88380.62</v>
      </c>
      <c r="H213" s="4"/>
      <c r="I213" s="27">
        <v>418668</v>
      </c>
      <c r="J213" s="4">
        <v>62095.55</v>
      </c>
      <c r="L213" s="27">
        <v>418668</v>
      </c>
      <c r="M213" s="4">
        <v>67584.95</v>
      </c>
      <c r="N213" s="4">
        <v>325184.76</v>
      </c>
      <c r="O213" s="4">
        <v>60189.64</v>
      </c>
      <c r="P213" s="4">
        <v>425078</v>
      </c>
      <c r="Q213" s="41">
        <v>85146.5</v>
      </c>
      <c r="R213" s="48">
        <v>875322</v>
      </c>
      <c r="S213" s="48">
        <v>437661</v>
      </c>
    </row>
    <row r="214" spans="1:19" x14ac:dyDescent="0.35">
      <c r="A214" s="12">
        <v>196</v>
      </c>
      <c r="B214" s="1" t="s">
        <v>249</v>
      </c>
      <c r="C214" s="4"/>
      <c r="D214" s="4"/>
      <c r="E214" s="33"/>
      <c r="F214" s="4"/>
      <c r="G214" s="4"/>
      <c r="H214" s="4"/>
      <c r="I214" s="27">
        <v>25358</v>
      </c>
      <c r="J214" s="4">
        <v>19448</v>
      </c>
      <c r="L214" s="27"/>
      <c r="M214" s="4"/>
      <c r="N214" s="4"/>
      <c r="O214" s="4"/>
      <c r="P214" s="4"/>
      <c r="Q214" s="41"/>
      <c r="R214" s="48"/>
      <c r="S214" s="48"/>
    </row>
    <row r="215" spans="1:19" x14ac:dyDescent="0.35">
      <c r="A215" s="12">
        <v>197</v>
      </c>
      <c r="B215" s="1" t="s">
        <v>195</v>
      </c>
      <c r="C215" s="11"/>
      <c r="D215" s="11"/>
      <c r="E215" s="32"/>
      <c r="F215" s="2">
        <v>2000</v>
      </c>
      <c r="G215" s="2">
        <v>2000</v>
      </c>
      <c r="H215" s="2"/>
      <c r="I215" s="27"/>
      <c r="J215" s="2"/>
      <c r="L215" s="27"/>
      <c r="M215" s="2"/>
      <c r="N215" s="2"/>
      <c r="O215" s="2"/>
      <c r="P215" s="2"/>
      <c r="Q215" s="48"/>
      <c r="R215" s="48"/>
      <c r="S215" s="48"/>
    </row>
    <row r="216" spans="1:19" x14ac:dyDescent="0.35">
      <c r="A216" s="12">
        <v>198</v>
      </c>
      <c r="B216" s="1" t="s">
        <v>117</v>
      </c>
      <c r="C216" s="4">
        <v>43000</v>
      </c>
      <c r="D216" s="4">
        <v>10600</v>
      </c>
      <c r="E216" s="33"/>
      <c r="F216" s="4"/>
      <c r="G216" s="4"/>
      <c r="H216" s="4"/>
      <c r="I216" s="27"/>
      <c r="J216" s="4"/>
      <c r="L216" s="27"/>
      <c r="M216" s="4"/>
      <c r="N216" s="4"/>
      <c r="O216" s="4"/>
      <c r="P216" s="4"/>
      <c r="Q216" s="41"/>
      <c r="R216" s="48"/>
      <c r="S216" s="48"/>
    </row>
    <row r="217" spans="1:19" x14ac:dyDescent="0.35">
      <c r="A217" s="12">
        <v>199</v>
      </c>
      <c r="B217" s="1" t="s">
        <v>118</v>
      </c>
      <c r="C217" s="4">
        <v>180514</v>
      </c>
      <c r="D217" s="4">
        <v>38595</v>
      </c>
      <c r="E217" s="33"/>
      <c r="F217" s="4">
        <v>137108</v>
      </c>
      <c r="G217" s="4">
        <v>88380.62</v>
      </c>
      <c r="H217" s="4"/>
      <c r="I217" s="27">
        <v>82748</v>
      </c>
      <c r="J217" s="4">
        <v>62095.55</v>
      </c>
      <c r="L217" s="27">
        <v>143148</v>
      </c>
      <c r="M217" s="4">
        <v>67584.95</v>
      </c>
      <c r="N217" s="4">
        <v>143148</v>
      </c>
      <c r="O217" s="4">
        <v>60189.64</v>
      </c>
      <c r="P217" s="4">
        <v>86982.6</v>
      </c>
      <c r="Q217" s="41">
        <v>85146.51</v>
      </c>
      <c r="R217" s="48">
        <v>110376</v>
      </c>
      <c r="S217" s="48">
        <v>110376</v>
      </c>
    </row>
    <row r="218" spans="1:19" x14ac:dyDescent="0.35">
      <c r="A218" s="12">
        <v>200</v>
      </c>
      <c r="B218" s="1" t="s">
        <v>250</v>
      </c>
      <c r="C218" s="11"/>
      <c r="D218" s="11"/>
      <c r="E218" s="32"/>
      <c r="F218" s="2"/>
      <c r="G218" s="2"/>
      <c r="H218" s="2"/>
      <c r="I218" s="27">
        <v>540896.28</v>
      </c>
      <c r="J218" s="2">
        <v>69461.820000000007</v>
      </c>
      <c r="L218" s="27"/>
      <c r="M218" s="2"/>
      <c r="N218" s="2">
        <v>505892.05</v>
      </c>
      <c r="O218" s="2">
        <v>60189.64</v>
      </c>
      <c r="P218" s="2">
        <v>638041.25</v>
      </c>
      <c r="Q218" s="48">
        <v>85146.5</v>
      </c>
      <c r="R218" s="48">
        <v>626319.41</v>
      </c>
      <c r="S218" s="48">
        <v>626319.41</v>
      </c>
    </row>
    <row r="219" spans="1:19" x14ac:dyDescent="0.35">
      <c r="A219" s="12">
        <v>201</v>
      </c>
      <c r="B219" s="1" t="s">
        <v>197</v>
      </c>
      <c r="C219" s="11"/>
      <c r="D219" s="11"/>
      <c r="E219" s="32"/>
      <c r="F219" s="2">
        <v>10738.99</v>
      </c>
      <c r="G219" s="2">
        <v>10738.99</v>
      </c>
      <c r="H219" s="2"/>
      <c r="I219" s="27"/>
      <c r="J219" s="2"/>
      <c r="L219" s="27">
        <v>10000</v>
      </c>
      <c r="M219" s="2">
        <v>4800</v>
      </c>
      <c r="N219" s="2"/>
      <c r="O219" s="2"/>
      <c r="P219" s="2"/>
      <c r="Q219" s="48"/>
      <c r="R219" s="48"/>
      <c r="S219" s="48"/>
    </row>
    <row r="220" spans="1:19" x14ac:dyDescent="0.35">
      <c r="A220" s="12">
        <v>202</v>
      </c>
      <c r="B220" s="1" t="s">
        <v>215</v>
      </c>
      <c r="C220" s="11"/>
      <c r="D220" s="11"/>
      <c r="E220" s="32"/>
      <c r="F220" s="2">
        <v>2282</v>
      </c>
      <c r="G220" s="2">
        <v>987</v>
      </c>
      <c r="H220" s="2"/>
      <c r="I220" s="27"/>
      <c r="J220" s="2"/>
      <c r="L220" s="27"/>
      <c r="M220" s="2"/>
      <c r="N220" s="2"/>
      <c r="O220" s="2"/>
      <c r="P220" s="2"/>
      <c r="Q220" s="48"/>
      <c r="R220" s="48"/>
      <c r="S220" s="48"/>
    </row>
    <row r="221" spans="1:19" x14ac:dyDescent="0.35">
      <c r="A221" s="12">
        <v>203</v>
      </c>
      <c r="B221" s="1" t="s">
        <v>198</v>
      </c>
      <c r="C221" s="11"/>
      <c r="D221" s="11"/>
      <c r="E221" s="32"/>
      <c r="F221" s="2">
        <v>53519.4</v>
      </c>
      <c r="G221" s="2">
        <v>36034.400000000001</v>
      </c>
      <c r="H221" s="2"/>
      <c r="I221" s="27"/>
      <c r="J221" s="2"/>
      <c r="L221" s="27"/>
      <c r="M221" s="2"/>
      <c r="N221" s="2"/>
      <c r="O221" s="2"/>
      <c r="P221" s="2"/>
      <c r="Q221" s="48"/>
      <c r="R221" s="48"/>
      <c r="S221" s="48"/>
    </row>
    <row r="222" spans="1:19" x14ac:dyDescent="0.35">
      <c r="A222" s="12">
        <v>204</v>
      </c>
      <c r="B222" s="1" t="s">
        <v>199</v>
      </c>
      <c r="C222" s="11"/>
      <c r="D222" s="11"/>
      <c r="E222" s="32"/>
      <c r="F222" s="2">
        <v>15155</v>
      </c>
      <c r="G222" s="2">
        <v>14750</v>
      </c>
      <c r="H222" s="2"/>
      <c r="I222" s="27"/>
      <c r="J222" s="2"/>
      <c r="L222" s="27"/>
      <c r="M222" s="2"/>
      <c r="N222" s="2">
        <v>5346</v>
      </c>
      <c r="O222" s="2">
        <v>5346</v>
      </c>
      <c r="P222" s="2"/>
      <c r="Q222" s="48"/>
      <c r="R222" s="48"/>
      <c r="S222" s="48"/>
    </row>
    <row r="223" spans="1:19" x14ac:dyDescent="0.35">
      <c r="A223" s="12">
        <v>205</v>
      </c>
      <c r="B223" s="1" t="s">
        <v>200</v>
      </c>
      <c r="C223" s="11"/>
      <c r="D223" s="11"/>
      <c r="E223" s="32"/>
      <c r="F223" s="2">
        <v>9990</v>
      </c>
      <c r="G223" s="2">
        <v>7510</v>
      </c>
      <c r="H223" s="2"/>
      <c r="I223" s="27"/>
      <c r="J223" s="2"/>
      <c r="L223" s="27"/>
      <c r="M223" s="2"/>
      <c r="N223" s="2"/>
      <c r="O223" s="2"/>
      <c r="P223" s="2"/>
      <c r="Q223" s="48"/>
      <c r="R223" s="48"/>
      <c r="S223" s="48"/>
    </row>
    <row r="224" spans="1:19" x14ac:dyDescent="0.35">
      <c r="A224" s="12">
        <v>206</v>
      </c>
      <c r="B224" s="1" t="s">
        <v>297</v>
      </c>
      <c r="C224" s="11"/>
      <c r="D224" s="11"/>
      <c r="E224" s="32"/>
      <c r="F224" s="2"/>
      <c r="G224" s="2"/>
      <c r="H224" s="2"/>
      <c r="I224" s="27"/>
      <c r="J224" s="2"/>
      <c r="L224" s="27"/>
      <c r="M224" s="2"/>
      <c r="N224" s="2"/>
      <c r="O224" s="2"/>
      <c r="P224" s="2"/>
      <c r="Q224" s="48"/>
      <c r="R224" s="2">
        <v>319901.90000000002</v>
      </c>
      <c r="S224" s="48">
        <v>111001.9</v>
      </c>
    </row>
    <row r="225" spans="1:19" s="23" customFormat="1" x14ac:dyDescent="0.35">
      <c r="A225" s="23">
        <v>207</v>
      </c>
      <c r="B225" s="1" t="s">
        <v>120</v>
      </c>
      <c r="C225" s="4">
        <v>1483322</v>
      </c>
      <c r="D225" s="4">
        <v>240900</v>
      </c>
      <c r="E225" s="33"/>
      <c r="F225" s="4">
        <v>1002091.3</v>
      </c>
      <c r="G225" s="4">
        <v>88380.62</v>
      </c>
      <c r="H225" s="4"/>
      <c r="I225" s="27">
        <v>860827.5</v>
      </c>
      <c r="J225" s="4">
        <v>62095.55</v>
      </c>
      <c r="L225" s="27">
        <v>877014</v>
      </c>
      <c r="M225" s="4">
        <v>67584.94</v>
      </c>
      <c r="N225" s="4">
        <v>1099905.8999999999</v>
      </c>
      <c r="O225" s="4">
        <v>60189.64</v>
      </c>
      <c r="P225" s="4">
        <v>802736.35</v>
      </c>
      <c r="Q225" s="41">
        <v>85146.5</v>
      </c>
      <c r="R225" s="4"/>
      <c r="S225" s="41"/>
    </row>
    <row r="226" spans="1:19" x14ac:dyDescent="0.35">
      <c r="A226" s="12">
        <v>208</v>
      </c>
      <c r="B226" s="1" t="s">
        <v>121</v>
      </c>
      <c r="C226" s="4">
        <v>120264</v>
      </c>
      <c r="D226" s="41">
        <v>85560</v>
      </c>
      <c r="E226" s="33"/>
      <c r="F226" s="4"/>
      <c r="G226" s="4"/>
      <c r="H226" s="4"/>
      <c r="I226" s="27"/>
      <c r="J226" s="4"/>
      <c r="L226" s="27"/>
      <c r="M226" s="4"/>
      <c r="N226" s="4"/>
      <c r="O226" s="41"/>
      <c r="P226" s="4"/>
      <c r="Q226" s="41"/>
      <c r="R226" s="4"/>
      <c r="S226" s="41"/>
    </row>
    <row r="227" spans="1:19" x14ac:dyDescent="0.35">
      <c r="A227" s="12">
        <v>209</v>
      </c>
      <c r="B227" s="1" t="s">
        <v>122</v>
      </c>
      <c r="C227" s="4">
        <v>33920</v>
      </c>
      <c r="D227" s="4">
        <v>33595</v>
      </c>
      <c r="E227" s="33"/>
      <c r="F227" s="4"/>
      <c r="G227" s="4"/>
      <c r="H227" s="4"/>
      <c r="I227" s="27"/>
      <c r="J227" s="4"/>
      <c r="L227" s="27"/>
      <c r="M227" s="4"/>
      <c r="N227" s="4"/>
      <c r="O227" s="4"/>
      <c r="P227" s="10"/>
      <c r="Q227" s="58"/>
      <c r="R227" s="10"/>
      <c r="S227" s="58"/>
    </row>
    <row r="228" spans="1:19" x14ac:dyDescent="0.35">
      <c r="A228" s="12">
        <v>210</v>
      </c>
      <c r="B228" s="1" t="s">
        <v>251</v>
      </c>
      <c r="C228" s="4"/>
      <c r="D228" s="4"/>
      <c r="E228" s="33"/>
      <c r="F228" s="4"/>
      <c r="G228" s="4"/>
      <c r="H228" s="4"/>
      <c r="I228" s="27">
        <v>4000</v>
      </c>
      <c r="J228" s="4">
        <v>3666</v>
      </c>
      <c r="L228" s="27"/>
      <c r="M228" s="4"/>
      <c r="N228" s="4"/>
      <c r="O228" s="4"/>
      <c r="P228" s="4"/>
      <c r="Q228" s="41"/>
      <c r="R228" s="4"/>
      <c r="S228" s="41"/>
    </row>
    <row r="229" spans="1:19" x14ac:dyDescent="0.35">
      <c r="A229" s="12">
        <v>211</v>
      </c>
      <c r="B229" s="1" t="s">
        <v>253</v>
      </c>
      <c r="C229" s="11"/>
      <c r="D229" s="11"/>
      <c r="E229" s="32"/>
      <c r="F229" s="2"/>
      <c r="G229" s="2"/>
      <c r="H229" s="2"/>
      <c r="I229" s="27">
        <v>1137.78</v>
      </c>
      <c r="J229" s="2">
        <v>1137.78</v>
      </c>
      <c r="L229" s="27"/>
      <c r="M229" s="2"/>
      <c r="N229" s="2"/>
      <c r="O229" s="2"/>
      <c r="P229" s="4"/>
      <c r="Q229" s="41"/>
      <c r="R229" s="4"/>
      <c r="S229" s="41"/>
    </row>
    <row r="230" spans="1:19" x14ac:dyDescent="0.35">
      <c r="A230" s="12">
        <v>212</v>
      </c>
      <c r="B230" s="1" t="s">
        <v>221</v>
      </c>
      <c r="C230" s="11"/>
      <c r="D230" s="11"/>
      <c r="E230" s="32"/>
      <c r="F230" s="2">
        <v>317725.99</v>
      </c>
      <c r="G230" s="2">
        <v>51072.61</v>
      </c>
      <c r="H230" s="2"/>
      <c r="I230" s="27"/>
      <c r="J230" s="2"/>
      <c r="L230" s="27"/>
      <c r="M230" s="2"/>
      <c r="N230" s="2">
        <v>64562.85</v>
      </c>
      <c r="O230" s="2">
        <v>17228.72</v>
      </c>
      <c r="P230" s="2">
        <v>18463.52</v>
      </c>
      <c r="Q230" s="48">
        <v>18463.52</v>
      </c>
      <c r="R230" s="2"/>
      <c r="S230" s="48"/>
    </row>
    <row r="231" spans="1:19" x14ac:dyDescent="0.35">
      <c r="A231" s="12">
        <v>213</v>
      </c>
      <c r="B231" s="1" t="s">
        <v>252</v>
      </c>
      <c r="C231" s="11"/>
      <c r="D231" s="11"/>
      <c r="E231" s="32"/>
      <c r="F231" s="2"/>
      <c r="G231" s="2"/>
      <c r="H231" s="2"/>
      <c r="I231" s="27">
        <v>3545</v>
      </c>
      <c r="J231" s="2">
        <v>3260</v>
      </c>
      <c r="L231" s="27"/>
      <c r="M231" s="2"/>
      <c r="N231" s="2"/>
      <c r="O231" s="2"/>
      <c r="P231" s="2"/>
      <c r="Q231" s="48"/>
      <c r="R231" s="2"/>
      <c r="S231" s="48"/>
    </row>
    <row r="232" spans="1:19" x14ac:dyDescent="0.35">
      <c r="A232" s="12">
        <v>214</v>
      </c>
      <c r="B232" s="1" t="s">
        <v>123</v>
      </c>
      <c r="C232" s="4">
        <v>36369</v>
      </c>
      <c r="D232" s="4">
        <v>36369</v>
      </c>
      <c r="E232" s="33"/>
      <c r="F232" s="4"/>
      <c r="G232" s="4"/>
      <c r="H232" s="4"/>
      <c r="I232" s="27">
        <v>34000.559999999998</v>
      </c>
      <c r="J232" s="4">
        <v>34000.559999999998</v>
      </c>
      <c r="L232" s="27">
        <v>34000.559999999998</v>
      </c>
      <c r="M232" s="4">
        <v>34000.559999999998</v>
      </c>
      <c r="N232" s="4">
        <v>34000.559999999998</v>
      </c>
      <c r="O232" s="4">
        <v>34000.559999999998</v>
      </c>
      <c r="P232" s="4"/>
      <c r="Q232" s="41"/>
      <c r="R232" s="4">
        <v>54070.34</v>
      </c>
      <c r="S232" s="41">
        <v>33717.339999999997</v>
      </c>
    </row>
    <row r="233" spans="1:19" x14ac:dyDescent="0.35">
      <c r="A233" s="12">
        <v>215</v>
      </c>
      <c r="B233" s="1" t="s">
        <v>222</v>
      </c>
      <c r="C233" s="11"/>
      <c r="D233" s="11"/>
      <c r="E233" s="32"/>
      <c r="F233" s="2">
        <v>100000</v>
      </c>
      <c r="G233" s="2">
        <v>51072.61</v>
      </c>
      <c r="H233" s="2"/>
      <c r="I233" s="27"/>
      <c r="J233" s="2"/>
      <c r="L233" s="27"/>
      <c r="M233" s="2"/>
      <c r="N233" s="2">
        <v>14669.6</v>
      </c>
      <c r="O233" s="2">
        <v>14669.6</v>
      </c>
      <c r="P233" s="2"/>
      <c r="Q233" s="48"/>
      <c r="R233" s="2">
        <v>18835</v>
      </c>
      <c r="S233" s="48">
        <v>18835</v>
      </c>
    </row>
    <row r="234" spans="1:19" x14ac:dyDescent="0.35">
      <c r="A234" s="12">
        <v>216</v>
      </c>
      <c r="B234" s="1" t="s">
        <v>124</v>
      </c>
      <c r="C234" s="4">
        <v>77248</v>
      </c>
      <c r="D234" s="4">
        <v>58148</v>
      </c>
      <c r="E234" s="33"/>
      <c r="F234" s="4"/>
      <c r="G234" s="4"/>
      <c r="H234" s="4"/>
      <c r="I234" s="27">
        <v>26155.5</v>
      </c>
      <c r="J234" s="4">
        <v>21000</v>
      </c>
      <c r="L234" s="27"/>
      <c r="M234" s="4"/>
      <c r="N234" s="4"/>
      <c r="O234" s="4"/>
      <c r="P234" s="4"/>
      <c r="Q234" s="41"/>
      <c r="R234" s="4"/>
      <c r="S234" s="41"/>
    </row>
    <row r="235" spans="1:19" x14ac:dyDescent="0.35">
      <c r="A235" s="12">
        <v>217</v>
      </c>
      <c r="B235" s="1" t="s">
        <v>299</v>
      </c>
      <c r="C235" s="4"/>
      <c r="D235" s="4"/>
      <c r="E235" s="33"/>
      <c r="F235" s="4"/>
      <c r="G235" s="4"/>
      <c r="H235" s="4"/>
      <c r="I235" s="27"/>
      <c r="J235" s="4"/>
      <c r="L235" s="27"/>
      <c r="M235" s="4"/>
      <c r="N235" s="4"/>
      <c r="O235" s="4"/>
      <c r="P235" s="4"/>
      <c r="Q235" s="41"/>
      <c r="R235" s="4">
        <v>593.95000000000005</v>
      </c>
      <c r="S235" s="41">
        <v>593.95000000000005</v>
      </c>
    </row>
    <row r="236" spans="1:19" x14ac:dyDescent="0.35">
      <c r="A236" s="12">
        <v>218</v>
      </c>
      <c r="B236" s="1" t="s">
        <v>276</v>
      </c>
      <c r="C236" s="4"/>
      <c r="D236" s="4"/>
      <c r="E236" s="33"/>
      <c r="F236" s="4"/>
      <c r="G236" s="4"/>
      <c r="H236" s="4"/>
      <c r="I236" s="27"/>
      <c r="J236" s="4"/>
      <c r="L236" s="27"/>
      <c r="M236" s="4"/>
      <c r="N236" s="4">
        <v>192049.53</v>
      </c>
      <c r="O236" s="4">
        <v>128257.91</v>
      </c>
      <c r="P236" s="4">
        <v>86126.51</v>
      </c>
      <c r="Q236" s="41">
        <v>86126.51</v>
      </c>
      <c r="R236" s="4"/>
      <c r="S236" s="41"/>
    </row>
    <row r="237" spans="1:19" x14ac:dyDescent="0.35">
      <c r="A237" s="12">
        <v>219</v>
      </c>
      <c r="B237" s="1" t="s">
        <v>2</v>
      </c>
      <c r="C237" s="4">
        <v>96976</v>
      </c>
      <c r="D237" s="4">
        <v>96976</v>
      </c>
      <c r="E237" s="33"/>
      <c r="F237" s="4">
        <v>63882</v>
      </c>
      <c r="G237" s="4">
        <v>0</v>
      </c>
      <c r="H237" s="4"/>
      <c r="I237" s="27">
        <v>100000</v>
      </c>
      <c r="J237" s="4">
        <v>20714.669999999998</v>
      </c>
      <c r="L237" s="27">
        <v>216260</v>
      </c>
      <c r="M237" s="4">
        <v>32830.32</v>
      </c>
      <c r="N237" s="4">
        <v>183454.88</v>
      </c>
      <c r="O237" s="4">
        <v>17228.72</v>
      </c>
      <c r="P237" s="4">
        <v>153496</v>
      </c>
      <c r="Q237" s="41">
        <v>110780.91</v>
      </c>
      <c r="R237" s="4">
        <v>69954</v>
      </c>
      <c r="S237" s="41">
        <v>69953.89</v>
      </c>
    </row>
    <row r="238" spans="1:19" x14ac:dyDescent="0.35">
      <c r="A238" s="12">
        <v>220</v>
      </c>
      <c r="B238" s="1" t="s">
        <v>298</v>
      </c>
      <c r="C238" s="4"/>
      <c r="D238" s="4"/>
      <c r="E238" s="33"/>
      <c r="F238" s="4"/>
      <c r="G238" s="4"/>
      <c r="H238" s="4"/>
      <c r="I238" s="27"/>
      <c r="J238" s="4"/>
      <c r="L238" s="27"/>
      <c r="M238" s="4"/>
      <c r="N238" s="4"/>
      <c r="O238" s="4"/>
      <c r="P238" s="4"/>
      <c r="Q238" s="41"/>
      <c r="R238" s="4">
        <v>4770</v>
      </c>
      <c r="S238" s="41">
        <v>1395</v>
      </c>
    </row>
    <row r="239" spans="1:19" x14ac:dyDescent="0.35">
      <c r="A239" s="12">
        <v>221</v>
      </c>
      <c r="B239" s="1" t="s">
        <v>201</v>
      </c>
      <c r="C239" s="11"/>
      <c r="D239" s="11"/>
      <c r="E239" s="32"/>
      <c r="F239" s="2">
        <v>19157</v>
      </c>
      <c r="G239" s="2">
        <v>5174</v>
      </c>
      <c r="H239" s="2"/>
      <c r="I239" s="27">
        <v>38506</v>
      </c>
      <c r="J239" s="2">
        <v>38106</v>
      </c>
      <c r="L239" s="27"/>
      <c r="M239" s="2"/>
      <c r="N239" s="2"/>
      <c r="O239" s="2"/>
      <c r="P239" s="2"/>
      <c r="Q239" s="48"/>
      <c r="R239" s="2"/>
      <c r="S239" s="48"/>
    </row>
    <row r="240" spans="1:19" x14ac:dyDescent="0.35">
      <c r="A240" s="12">
        <v>222</v>
      </c>
      <c r="B240" s="1" t="s">
        <v>125</v>
      </c>
      <c r="C240" s="4">
        <v>141175.1</v>
      </c>
      <c r="D240" s="4">
        <v>45000</v>
      </c>
      <c r="E240" s="33"/>
      <c r="F240" s="4">
        <v>147083</v>
      </c>
      <c r="G240" s="4">
        <v>88380.62</v>
      </c>
      <c r="H240" s="4"/>
      <c r="I240" s="27">
        <v>48461.93</v>
      </c>
      <c r="J240" s="4">
        <v>48461.93</v>
      </c>
      <c r="L240" s="27">
        <v>47344.12</v>
      </c>
      <c r="M240" s="4">
        <v>47344.12</v>
      </c>
      <c r="N240" s="4"/>
      <c r="O240" s="4"/>
      <c r="P240" s="4">
        <v>22500</v>
      </c>
      <c r="Q240" s="41">
        <v>22500</v>
      </c>
      <c r="R240" s="4">
        <v>24075</v>
      </c>
      <c r="S240" s="41">
        <v>24075</v>
      </c>
    </row>
    <row r="241" spans="1:19" x14ac:dyDescent="0.35">
      <c r="A241" s="12">
        <v>223</v>
      </c>
      <c r="B241" s="1" t="s">
        <v>126</v>
      </c>
      <c r="C241" s="4">
        <v>1997.99</v>
      </c>
      <c r="D241" s="4">
        <v>1997.99</v>
      </c>
      <c r="E241" s="33"/>
      <c r="F241" s="4"/>
      <c r="G241" s="4"/>
      <c r="H241" s="4"/>
      <c r="I241" s="27"/>
      <c r="J241" s="4"/>
      <c r="L241" s="27"/>
      <c r="M241" s="4"/>
      <c r="N241" s="4"/>
      <c r="O241" s="4"/>
      <c r="P241" s="4"/>
      <c r="Q241" s="41"/>
      <c r="R241" s="4"/>
      <c r="S241" s="41"/>
    </row>
    <row r="242" spans="1:19" x14ac:dyDescent="0.35">
      <c r="A242" s="12">
        <v>224</v>
      </c>
      <c r="B242" s="1" t="s">
        <v>127</v>
      </c>
      <c r="C242" s="4">
        <v>41509.69</v>
      </c>
      <c r="D242" s="4">
        <v>12000</v>
      </c>
      <c r="E242" s="33"/>
      <c r="F242" s="4"/>
      <c r="G242" s="4"/>
      <c r="H242" s="4"/>
      <c r="I242" s="27"/>
      <c r="J242" s="4"/>
      <c r="L242" s="27">
        <v>106077</v>
      </c>
      <c r="M242" s="4">
        <v>67584.95</v>
      </c>
      <c r="N242" s="4">
        <v>131326</v>
      </c>
      <c r="O242" s="4">
        <v>60189.64</v>
      </c>
      <c r="P242" s="4">
        <v>93127</v>
      </c>
      <c r="Q242" s="41">
        <v>85146.51</v>
      </c>
      <c r="R242" s="4">
        <v>29952</v>
      </c>
      <c r="S242" s="41">
        <v>29952</v>
      </c>
    </row>
    <row r="243" spans="1:19" x14ac:dyDescent="0.35">
      <c r="A243" s="12">
        <v>225</v>
      </c>
      <c r="B243" s="1" t="s">
        <v>128</v>
      </c>
      <c r="C243" s="4">
        <v>9736.7000000000007</v>
      </c>
      <c r="D243" s="4">
        <v>8900</v>
      </c>
      <c r="E243" s="33"/>
      <c r="F243" s="4"/>
      <c r="G243" s="4"/>
      <c r="H243" s="4"/>
      <c r="I243" s="27"/>
      <c r="J243" s="4"/>
      <c r="L243" s="27"/>
      <c r="M243" s="4"/>
      <c r="N243" s="4">
        <v>21435</v>
      </c>
      <c r="O243" s="4">
        <v>21435</v>
      </c>
      <c r="P243" s="4"/>
      <c r="Q243" s="41"/>
      <c r="R243" s="4"/>
      <c r="S243" s="41"/>
    </row>
    <row r="244" spans="1:19" x14ac:dyDescent="0.35">
      <c r="A244" s="12">
        <v>226</v>
      </c>
      <c r="B244" s="1" t="s">
        <v>129</v>
      </c>
      <c r="C244" s="4">
        <v>2420</v>
      </c>
      <c r="D244" s="8">
        <v>2420</v>
      </c>
      <c r="E244" s="21"/>
      <c r="F244" s="4"/>
      <c r="G244" s="8"/>
      <c r="H244" s="8"/>
      <c r="I244" s="27">
        <v>1455.12</v>
      </c>
      <c r="J244" s="8">
        <v>1092</v>
      </c>
      <c r="L244" s="27">
        <v>1600</v>
      </c>
      <c r="M244" s="8">
        <v>1600</v>
      </c>
      <c r="N244" s="8"/>
      <c r="O244" s="8"/>
      <c r="P244" s="8">
        <v>9864.83</v>
      </c>
      <c r="Q244" s="49">
        <v>9419.06</v>
      </c>
      <c r="R244" s="8">
        <v>5900</v>
      </c>
      <c r="S244" s="49">
        <v>5900</v>
      </c>
    </row>
    <row r="245" spans="1:19" x14ac:dyDescent="0.35">
      <c r="A245" s="12">
        <v>227</v>
      </c>
      <c r="B245" s="1" t="s">
        <v>202</v>
      </c>
      <c r="C245" s="11"/>
      <c r="D245" s="11"/>
      <c r="E245" s="32"/>
      <c r="F245" s="2">
        <v>13429</v>
      </c>
      <c r="G245" s="2">
        <v>13429</v>
      </c>
      <c r="H245" s="2"/>
      <c r="I245" s="27">
        <v>5469.84</v>
      </c>
      <c r="J245" s="2">
        <v>5469.84</v>
      </c>
      <c r="L245" s="27"/>
      <c r="M245" s="2"/>
      <c r="N245" s="2"/>
      <c r="O245" s="2"/>
      <c r="P245" s="2">
        <v>16740.599999999999</v>
      </c>
      <c r="Q245" s="48">
        <v>16740.599999999999</v>
      </c>
      <c r="R245" s="2"/>
      <c r="S245" s="48"/>
    </row>
    <row r="246" spans="1:19" x14ac:dyDescent="0.35">
      <c r="A246" s="12">
        <v>228</v>
      </c>
      <c r="B246" s="1" t="s">
        <v>203</v>
      </c>
      <c r="C246" s="11"/>
      <c r="D246" s="11"/>
      <c r="E246" s="32"/>
      <c r="F246" s="2">
        <v>8022.2</v>
      </c>
      <c r="G246" s="2">
        <v>4700</v>
      </c>
      <c r="H246" s="2"/>
      <c r="I246" s="27">
        <v>4580</v>
      </c>
      <c r="J246" s="2">
        <v>1200</v>
      </c>
      <c r="L246" s="27"/>
      <c r="M246" s="2"/>
      <c r="N246" s="2"/>
      <c r="O246" s="2"/>
      <c r="P246" s="2"/>
      <c r="Q246" s="48"/>
      <c r="R246" s="2"/>
      <c r="S246" s="48"/>
    </row>
    <row r="247" spans="1:19" x14ac:dyDescent="0.35">
      <c r="A247" s="12">
        <v>229</v>
      </c>
      <c r="B247" s="1" t="s">
        <v>130</v>
      </c>
      <c r="C247" s="4">
        <v>8736</v>
      </c>
      <c r="D247" s="4">
        <v>8736</v>
      </c>
      <c r="E247" s="33"/>
      <c r="F247" s="4"/>
      <c r="G247" s="4"/>
      <c r="H247" s="4"/>
      <c r="I247" s="27"/>
      <c r="J247" s="4"/>
      <c r="L247" s="27"/>
      <c r="M247" s="4"/>
      <c r="N247" s="4"/>
      <c r="O247" s="4"/>
      <c r="P247" s="4"/>
      <c r="Q247" s="41"/>
      <c r="R247" s="4">
        <v>6089.59</v>
      </c>
      <c r="S247" s="41">
        <v>6089.59</v>
      </c>
    </row>
    <row r="248" spans="1:19" x14ac:dyDescent="0.35">
      <c r="A248" s="12">
        <v>230</v>
      </c>
      <c r="B248" s="1" t="s">
        <v>131</v>
      </c>
      <c r="C248" s="4">
        <v>6015</v>
      </c>
      <c r="D248" s="4">
        <v>4400</v>
      </c>
      <c r="E248" s="33"/>
      <c r="F248" s="4"/>
      <c r="G248" s="4"/>
      <c r="H248" s="4"/>
      <c r="I248" s="27"/>
      <c r="J248" s="4"/>
      <c r="L248" s="27"/>
      <c r="M248" s="4"/>
      <c r="N248" s="4"/>
      <c r="O248" s="4"/>
      <c r="P248" s="4"/>
      <c r="Q248" s="41"/>
      <c r="R248" s="4"/>
      <c r="S248" s="41"/>
    </row>
    <row r="249" spans="1:19" x14ac:dyDescent="0.35">
      <c r="A249" s="12">
        <v>231</v>
      </c>
      <c r="B249" s="1" t="s">
        <v>132</v>
      </c>
      <c r="C249" s="4">
        <v>108496.55</v>
      </c>
      <c r="D249" s="4">
        <v>45500</v>
      </c>
      <c r="E249" s="33"/>
      <c r="F249" s="4"/>
      <c r="G249" s="4"/>
      <c r="H249" s="4"/>
      <c r="I249" s="27"/>
      <c r="J249" s="4"/>
      <c r="L249" s="27"/>
      <c r="M249" s="4"/>
      <c r="N249" s="4">
        <v>23219</v>
      </c>
      <c r="O249" s="4">
        <v>11664</v>
      </c>
      <c r="P249" s="4">
        <v>70350</v>
      </c>
      <c r="Q249" s="41">
        <v>22350</v>
      </c>
      <c r="R249" s="4">
        <v>62753</v>
      </c>
      <c r="S249" s="41">
        <v>54563</v>
      </c>
    </row>
    <row r="250" spans="1:19" ht="17.899999999999999" customHeight="1" x14ac:dyDescent="0.35">
      <c r="A250" s="12">
        <v>232</v>
      </c>
      <c r="B250" s="1" t="s">
        <v>133</v>
      </c>
      <c r="C250" s="4">
        <v>110552.9</v>
      </c>
      <c r="D250" s="4">
        <v>73059.899999999994</v>
      </c>
      <c r="E250" s="33"/>
      <c r="F250" s="4">
        <v>79925</v>
      </c>
      <c r="G250" s="4">
        <v>0</v>
      </c>
      <c r="H250" s="4"/>
      <c r="I250" s="27">
        <v>137405</v>
      </c>
      <c r="J250" s="4">
        <v>62095.55</v>
      </c>
      <c r="L250" s="27">
        <v>45198</v>
      </c>
      <c r="M250" s="4">
        <v>45198</v>
      </c>
      <c r="N250" s="4">
        <v>36715</v>
      </c>
      <c r="O250" s="4">
        <v>23365</v>
      </c>
      <c r="P250" s="4">
        <v>82095</v>
      </c>
      <c r="Q250" s="41">
        <v>46670</v>
      </c>
      <c r="R250" s="4"/>
      <c r="S250" s="41"/>
    </row>
    <row r="251" spans="1:19" x14ac:dyDescent="0.35">
      <c r="A251" s="12">
        <v>233</v>
      </c>
      <c r="B251" s="1" t="s">
        <v>134</v>
      </c>
      <c r="C251" s="4">
        <v>370835</v>
      </c>
      <c r="D251" s="4">
        <v>304450</v>
      </c>
      <c r="E251" s="33"/>
      <c r="F251" s="4"/>
      <c r="G251" s="4"/>
      <c r="H251" s="4"/>
      <c r="I251" s="27">
        <v>429176.34</v>
      </c>
      <c r="J251" s="4">
        <v>62095.55</v>
      </c>
      <c r="L251" s="27"/>
      <c r="M251" s="4"/>
      <c r="N251" s="4">
        <v>255898.79</v>
      </c>
      <c r="O251" s="4">
        <v>60189.64</v>
      </c>
      <c r="P251" s="4">
        <v>333506.90000000002</v>
      </c>
      <c r="Q251" s="41">
        <v>85146.51</v>
      </c>
      <c r="R251" s="4">
        <v>317994.36</v>
      </c>
      <c r="S251" s="41">
        <v>317994.36</v>
      </c>
    </row>
    <row r="252" spans="1:19" x14ac:dyDescent="0.35">
      <c r="A252" s="12">
        <v>234</v>
      </c>
      <c r="B252" s="1" t="s">
        <v>204</v>
      </c>
      <c r="C252" s="11"/>
      <c r="D252" s="11"/>
      <c r="E252" s="32"/>
      <c r="F252" s="2">
        <v>33941.79</v>
      </c>
      <c r="G252" s="2">
        <v>15600</v>
      </c>
      <c r="H252" s="2"/>
      <c r="I252" s="27">
        <v>18129.62</v>
      </c>
      <c r="J252" s="2">
        <v>12329.62</v>
      </c>
      <c r="L252" s="27">
        <v>11778.6</v>
      </c>
      <c r="M252" s="2">
        <v>9303.6</v>
      </c>
      <c r="N252" s="2">
        <v>14231.4</v>
      </c>
      <c r="O252" s="2">
        <v>14231.4</v>
      </c>
      <c r="P252" s="2">
        <v>8232.2800000000007</v>
      </c>
      <c r="Q252" s="48">
        <v>8232.2800000000007</v>
      </c>
      <c r="R252" s="2">
        <v>29999.29</v>
      </c>
      <c r="S252" s="48">
        <v>26249.29</v>
      </c>
    </row>
    <row r="253" spans="1:19" x14ac:dyDescent="0.35">
      <c r="A253" s="12">
        <v>235</v>
      </c>
      <c r="B253" s="1" t="s">
        <v>205</v>
      </c>
      <c r="C253" s="11"/>
      <c r="D253" s="11"/>
      <c r="E253" s="32"/>
      <c r="F253" s="2">
        <v>5896</v>
      </c>
      <c r="G253" s="2">
        <v>3600</v>
      </c>
      <c r="H253" s="2"/>
      <c r="I253" s="27"/>
      <c r="J253" s="2"/>
      <c r="L253" s="27"/>
      <c r="M253" s="2"/>
      <c r="N253" s="2"/>
      <c r="O253" s="2"/>
      <c r="P253" s="2"/>
      <c r="Q253" s="48"/>
      <c r="R253" s="2"/>
      <c r="S253" s="48"/>
    </row>
    <row r="254" spans="1:19" x14ac:dyDescent="0.35">
      <c r="A254" s="12">
        <v>236</v>
      </c>
      <c r="B254" s="1" t="s">
        <v>135</v>
      </c>
      <c r="C254" s="4">
        <v>54337</v>
      </c>
      <c r="D254" s="4">
        <v>31155</v>
      </c>
      <c r="E254" s="33"/>
      <c r="F254" s="4">
        <v>36230.199999999997</v>
      </c>
      <c r="G254" s="4">
        <v>0</v>
      </c>
      <c r="H254" s="4"/>
      <c r="I254" s="27">
        <v>25000</v>
      </c>
      <c r="J254" s="4">
        <v>11800</v>
      </c>
      <c r="L254" s="27">
        <v>2400</v>
      </c>
      <c r="M254" s="4">
        <v>1610</v>
      </c>
      <c r="N254" s="4">
        <v>4500</v>
      </c>
      <c r="O254" s="4">
        <v>4500</v>
      </c>
      <c r="P254" s="4">
        <v>5825</v>
      </c>
      <c r="Q254" s="41">
        <v>3850</v>
      </c>
      <c r="R254" s="4"/>
      <c r="S254" s="41"/>
    </row>
    <row r="255" spans="1:19" x14ac:dyDescent="0.35">
      <c r="A255" s="12">
        <v>237</v>
      </c>
      <c r="B255" s="1" t="s">
        <v>270</v>
      </c>
      <c r="C255" s="4"/>
      <c r="D255" s="4"/>
      <c r="E255" s="33"/>
      <c r="F255" s="4"/>
      <c r="G255" s="4"/>
      <c r="H255" s="4"/>
      <c r="I255" s="27"/>
      <c r="J255" s="4"/>
      <c r="L255" s="27">
        <v>41748.94</v>
      </c>
      <c r="M255" s="4">
        <v>41748.94</v>
      </c>
      <c r="N255" s="4"/>
      <c r="O255" s="4"/>
      <c r="P255" s="4">
        <v>63930.69</v>
      </c>
      <c r="Q255" s="41">
        <v>22181.75</v>
      </c>
      <c r="R255" s="4">
        <v>22181.75</v>
      </c>
      <c r="S255" s="41">
        <v>16403.740000000002</v>
      </c>
    </row>
    <row r="256" spans="1:19" x14ac:dyDescent="0.35">
      <c r="A256" s="12">
        <v>238</v>
      </c>
      <c r="B256" s="1" t="s">
        <v>255</v>
      </c>
      <c r="C256" s="4"/>
      <c r="D256" s="4"/>
      <c r="E256" s="33"/>
      <c r="F256" s="4"/>
      <c r="G256" s="4"/>
      <c r="H256" s="4"/>
      <c r="I256" s="27">
        <v>18959.12</v>
      </c>
      <c r="J256" s="4">
        <v>18959.12</v>
      </c>
      <c r="L256" s="27">
        <v>27890.080000000002</v>
      </c>
      <c r="M256" s="4">
        <v>27890.080000000002</v>
      </c>
      <c r="N256" s="4"/>
      <c r="O256" s="4"/>
      <c r="P256" s="4"/>
      <c r="Q256" s="41"/>
      <c r="R256" s="4"/>
      <c r="S256" s="41"/>
    </row>
    <row r="257" spans="1:19" x14ac:dyDescent="0.35">
      <c r="A257" s="12">
        <v>239</v>
      </c>
      <c r="B257" s="1" t="s">
        <v>136</v>
      </c>
      <c r="C257" s="4">
        <v>5081</v>
      </c>
      <c r="D257" s="4">
        <v>4192</v>
      </c>
      <c r="E257" s="33"/>
      <c r="F257" s="4"/>
      <c r="G257" s="4"/>
      <c r="H257" s="4"/>
      <c r="I257" s="27"/>
      <c r="J257" s="4"/>
      <c r="L257" s="27"/>
      <c r="M257" s="4"/>
      <c r="N257" s="4"/>
      <c r="O257" s="4"/>
      <c r="P257" s="4"/>
      <c r="Q257" s="41"/>
      <c r="R257" s="4"/>
      <c r="S257" s="41"/>
    </row>
    <row r="258" spans="1:19" x14ac:dyDescent="0.35">
      <c r="A258" s="12">
        <v>240</v>
      </c>
      <c r="B258" s="1" t="s">
        <v>206</v>
      </c>
      <c r="C258" s="11"/>
      <c r="D258" s="11"/>
      <c r="E258" s="32"/>
      <c r="F258" s="2">
        <v>63472.77</v>
      </c>
      <c r="G258" s="2">
        <v>63472.77</v>
      </c>
      <c r="H258" s="2"/>
      <c r="I258" s="27"/>
      <c r="J258" s="2"/>
      <c r="L258" s="27"/>
      <c r="M258" s="2"/>
      <c r="N258" s="2"/>
      <c r="O258" s="2"/>
      <c r="P258" s="2"/>
      <c r="Q258" s="48"/>
      <c r="R258" s="2"/>
      <c r="S258" s="48"/>
    </row>
    <row r="259" spans="1:19" ht="16.399999999999999" customHeight="1" x14ac:dyDescent="0.35">
      <c r="A259" s="12">
        <v>241</v>
      </c>
      <c r="B259" s="1" t="s">
        <v>137</v>
      </c>
      <c r="C259" s="4">
        <v>450</v>
      </c>
      <c r="D259" s="4">
        <v>450</v>
      </c>
      <c r="E259" s="33"/>
      <c r="F259" s="4"/>
      <c r="G259" s="4"/>
      <c r="H259" s="4"/>
      <c r="I259" s="27"/>
      <c r="J259" s="4"/>
      <c r="L259" s="27"/>
      <c r="M259" s="4"/>
      <c r="N259" s="4"/>
      <c r="O259" s="4"/>
      <c r="P259" s="4"/>
      <c r="Q259" s="41"/>
      <c r="R259" s="4"/>
      <c r="S259" s="41"/>
    </row>
    <row r="260" spans="1:19" x14ac:dyDescent="0.35">
      <c r="A260" s="12">
        <v>242</v>
      </c>
      <c r="B260" s="1" t="s">
        <v>207</v>
      </c>
      <c r="C260" s="11"/>
      <c r="D260" s="11"/>
      <c r="E260" s="32"/>
      <c r="F260" s="2">
        <v>19110</v>
      </c>
      <c r="G260" s="2">
        <v>19110</v>
      </c>
      <c r="H260" s="2"/>
      <c r="I260" s="27"/>
      <c r="J260" s="2"/>
      <c r="L260" s="27"/>
      <c r="M260" s="2"/>
      <c r="N260" s="2"/>
      <c r="O260" s="2"/>
      <c r="P260" s="2">
        <v>52971.41</v>
      </c>
      <c r="Q260" s="48">
        <v>19416.93</v>
      </c>
      <c r="R260" s="2">
        <v>8118</v>
      </c>
      <c r="S260" s="48">
        <v>8118</v>
      </c>
    </row>
    <row r="261" spans="1:19" x14ac:dyDescent="0.35">
      <c r="A261" s="12">
        <v>243</v>
      </c>
      <c r="B261" s="1" t="s">
        <v>259</v>
      </c>
      <c r="C261" s="11"/>
      <c r="D261" s="11"/>
      <c r="E261" s="32"/>
      <c r="F261" s="2"/>
      <c r="G261" s="2"/>
      <c r="H261" s="2"/>
      <c r="I261" s="27">
        <v>104597.48</v>
      </c>
      <c r="J261" s="2">
        <v>104597.48</v>
      </c>
      <c r="L261" s="27"/>
      <c r="M261" s="2"/>
      <c r="N261" s="2"/>
      <c r="O261" s="2"/>
      <c r="P261" s="2"/>
      <c r="Q261" s="48"/>
      <c r="R261" s="2">
        <v>120575.05</v>
      </c>
      <c r="S261" s="48">
        <v>120575.05</v>
      </c>
    </row>
    <row r="262" spans="1:19" x14ac:dyDescent="0.35">
      <c r="A262" s="12">
        <v>244</v>
      </c>
      <c r="B262" s="1" t="s">
        <v>138</v>
      </c>
      <c r="C262" s="4">
        <v>8145.03</v>
      </c>
      <c r="D262" s="4">
        <v>8145.03</v>
      </c>
      <c r="E262" s="33"/>
      <c r="F262" s="4"/>
      <c r="G262" s="4"/>
      <c r="H262" s="4"/>
      <c r="I262" s="27">
        <v>17463</v>
      </c>
      <c r="J262" s="4">
        <v>10800</v>
      </c>
      <c r="L262" s="27"/>
      <c r="M262" s="4"/>
      <c r="N262" s="4"/>
      <c r="O262" s="4"/>
      <c r="P262" s="4">
        <v>75027.350000000006</v>
      </c>
      <c r="Q262" s="41">
        <v>68040.850000000006</v>
      </c>
      <c r="R262" s="4"/>
      <c r="S262" s="41"/>
    </row>
    <row r="263" spans="1:19" x14ac:dyDescent="0.35">
      <c r="A263" s="12">
        <v>245</v>
      </c>
      <c r="B263" s="1" t="s">
        <v>139</v>
      </c>
      <c r="C263" s="4">
        <v>24678.33</v>
      </c>
      <c r="D263" s="4">
        <v>20937</v>
      </c>
      <c r="E263" s="33"/>
      <c r="F263" s="4"/>
      <c r="G263" s="4"/>
      <c r="H263" s="4"/>
      <c r="I263" s="27"/>
      <c r="J263" s="4"/>
      <c r="L263" s="27"/>
      <c r="M263" s="4"/>
      <c r="N263" s="4"/>
      <c r="O263" s="4"/>
      <c r="P263" s="4"/>
      <c r="Q263" s="41"/>
      <c r="R263" s="4"/>
      <c r="S263" s="41"/>
    </row>
    <row r="264" spans="1:19" x14ac:dyDescent="0.35">
      <c r="A264" s="12">
        <v>246</v>
      </c>
      <c r="B264" s="1" t="s">
        <v>140</v>
      </c>
      <c r="C264" s="4">
        <v>22745</v>
      </c>
      <c r="D264" s="4">
        <v>20795</v>
      </c>
      <c r="E264" s="33"/>
      <c r="F264" s="4"/>
      <c r="G264" s="4"/>
      <c r="H264" s="4"/>
      <c r="I264" s="27"/>
      <c r="J264" s="4"/>
      <c r="L264" s="27"/>
      <c r="M264" s="4"/>
      <c r="N264" s="4"/>
      <c r="O264" s="4"/>
      <c r="P264" s="4"/>
      <c r="Q264" s="41"/>
      <c r="R264" s="4"/>
      <c r="S264" s="41"/>
    </row>
    <row r="265" spans="1:19" x14ac:dyDescent="0.35">
      <c r="A265" s="12">
        <v>247</v>
      </c>
      <c r="B265" s="1" t="s">
        <v>141</v>
      </c>
      <c r="C265" s="4">
        <v>13367.91</v>
      </c>
      <c r="D265" s="4">
        <v>8690.91</v>
      </c>
      <c r="E265" s="33"/>
      <c r="F265" s="4"/>
      <c r="G265" s="4"/>
      <c r="H265" s="4"/>
      <c r="I265" s="27"/>
      <c r="J265" s="4"/>
      <c r="L265" s="27">
        <v>17802.560000000001</v>
      </c>
      <c r="M265" s="4">
        <v>17802.560000000001</v>
      </c>
      <c r="N265" s="4"/>
      <c r="O265" s="4"/>
      <c r="P265" s="4">
        <v>11499.72</v>
      </c>
      <c r="Q265" s="41">
        <v>11499.72</v>
      </c>
      <c r="R265" s="4">
        <v>11499.72</v>
      </c>
      <c r="S265" s="41">
        <v>11499.72</v>
      </c>
    </row>
    <row r="266" spans="1:19" x14ac:dyDescent="0.35">
      <c r="A266" s="12">
        <v>248</v>
      </c>
      <c r="B266" s="1" t="s">
        <v>142</v>
      </c>
      <c r="C266" s="4">
        <v>148186</v>
      </c>
      <c r="D266" s="4">
        <v>33300</v>
      </c>
      <c r="E266" s="33"/>
      <c r="F266" s="4"/>
      <c r="G266" s="4"/>
      <c r="H266" s="4"/>
      <c r="I266" s="27"/>
      <c r="J266" s="4"/>
      <c r="L266" s="27">
        <v>11328</v>
      </c>
      <c r="M266" s="4">
        <v>4500</v>
      </c>
      <c r="N266" s="4"/>
      <c r="O266" s="4"/>
      <c r="P266" s="4">
        <v>110010.3</v>
      </c>
      <c r="Q266" s="41">
        <v>65880</v>
      </c>
      <c r="R266" s="4">
        <v>65340</v>
      </c>
      <c r="S266" s="41">
        <v>65340</v>
      </c>
    </row>
    <row r="267" spans="1:19" x14ac:dyDescent="0.35">
      <c r="A267" s="12">
        <v>249</v>
      </c>
      <c r="B267" s="1" t="s">
        <v>143</v>
      </c>
      <c r="C267" s="4">
        <v>12177</v>
      </c>
      <c r="D267" s="4">
        <v>12177</v>
      </c>
      <c r="E267" s="33"/>
      <c r="F267" s="4"/>
      <c r="G267" s="4"/>
      <c r="H267" s="4"/>
      <c r="I267" s="27"/>
      <c r="J267" s="4"/>
      <c r="L267" s="27">
        <v>12820</v>
      </c>
      <c r="M267" s="4">
        <v>12820</v>
      </c>
      <c r="N267" s="4"/>
      <c r="O267" s="4"/>
      <c r="P267" s="4">
        <v>13064.7</v>
      </c>
      <c r="Q267" s="41">
        <v>9469.5</v>
      </c>
      <c r="R267" s="4">
        <v>5147</v>
      </c>
      <c r="S267" s="41">
        <v>5122</v>
      </c>
    </row>
    <row r="268" spans="1:19" x14ac:dyDescent="0.35">
      <c r="A268" s="12">
        <v>250</v>
      </c>
      <c r="B268" s="1" t="s">
        <v>208</v>
      </c>
      <c r="C268" s="11"/>
      <c r="D268" s="11"/>
      <c r="E268" s="32"/>
      <c r="F268" s="2">
        <v>13175.65</v>
      </c>
      <c r="G268" s="2">
        <v>8495.65</v>
      </c>
      <c r="H268" s="2"/>
      <c r="I268" s="27"/>
      <c r="J268" s="2"/>
      <c r="L268" s="27"/>
      <c r="M268" s="2"/>
      <c r="N268" s="2">
        <v>19832.560000000001</v>
      </c>
      <c r="O268" s="2">
        <v>19832.560000000001</v>
      </c>
      <c r="P268" s="2">
        <v>8981.2800000000007</v>
      </c>
      <c r="Q268" s="48">
        <v>8981.2800000000007</v>
      </c>
      <c r="R268" s="2"/>
      <c r="S268" s="48"/>
    </row>
    <row r="269" spans="1:19" x14ac:dyDescent="0.35">
      <c r="A269" s="12">
        <v>251</v>
      </c>
      <c r="B269" s="1" t="s">
        <v>144</v>
      </c>
      <c r="C269" s="4">
        <v>28155</v>
      </c>
      <c r="D269" s="4">
        <v>17755</v>
      </c>
      <c r="E269" s="33"/>
      <c r="F269" s="4"/>
      <c r="G269" s="4"/>
      <c r="H269" s="4"/>
      <c r="I269" s="27"/>
      <c r="J269" s="4"/>
      <c r="L269" s="27">
        <v>28148.3</v>
      </c>
      <c r="M269" s="4">
        <v>23961.3</v>
      </c>
      <c r="N269" s="4"/>
      <c r="O269" s="4"/>
      <c r="P269" s="4"/>
      <c r="Q269" s="41"/>
      <c r="R269" s="4"/>
      <c r="S269" s="41"/>
    </row>
    <row r="270" spans="1:19" x14ac:dyDescent="0.35">
      <c r="A270" s="12">
        <v>252</v>
      </c>
      <c r="B270" s="1" t="s">
        <v>159</v>
      </c>
      <c r="C270" s="4">
        <v>52298.8</v>
      </c>
      <c r="D270" s="4">
        <v>36812.199999999997</v>
      </c>
      <c r="E270" s="33"/>
      <c r="F270" s="4">
        <v>34992</v>
      </c>
      <c r="G270" s="4">
        <v>0</v>
      </c>
      <c r="H270" s="4"/>
      <c r="I270" s="27"/>
      <c r="J270" s="4"/>
      <c r="L270" s="27">
        <v>40651.199999999997</v>
      </c>
      <c r="M270" s="4">
        <v>28530.6</v>
      </c>
      <c r="N270" s="4"/>
      <c r="O270" s="4"/>
      <c r="P270" s="4"/>
      <c r="Q270" s="41"/>
      <c r="R270" s="4"/>
      <c r="S270" s="41"/>
    </row>
    <row r="271" spans="1:19" x14ac:dyDescent="0.35">
      <c r="A271" s="12">
        <v>253</v>
      </c>
      <c r="B271" s="1" t="s">
        <v>209</v>
      </c>
      <c r="C271" s="11"/>
      <c r="D271" s="11"/>
      <c r="E271" s="32"/>
      <c r="F271" s="2">
        <v>4413.29</v>
      </c>
      <c r="G271" s="2">
        <v>4413.29</v>
      </c>
      <c r="H271" s="2"/>
      <c r="I271" s="27"/>
      <c r="J271" s="2"/>
      <c r="L271" s="27"/>
      <c r="M271" s="2"/>
      <c r="N271" s="2"/>
      <c r="O271" s="2"/>
      <c r="P271" s="2"/>
      <c r="Q271" s="48"/>
      <c r="R271" s="2"/>
      <c r="S271" s="48"/>
    </row>
    <row r="272" spans="1:19" ht="14.9" customHeight="1" x14ac:dyDescent="0.35">
      <c r="A272" s="12">
        <v>254</v>
      </c>
      <c r="B272" s="1" t="s">
        <v>210</v>
      </c>
      <c r="C272" s="11"/>
      <c r="D272" s="11"/>
      <c r="E272" s="32"/>
      <c r="F272" s="2">
        <v>15199.3</v>
      </c>
      <c r="G272" s="2">
        <v>5400</v>
      </c>
      <c r="H272" s="2"/>
      <c r="I272" s="27">
        <v>7364.88</v>
      </c>
      <c r="J272" s="2">
        <v>4426.68</v>
      </c>
      <c r="L272" s="27">
        <v>4833.4399999999996</v>
      </c>
      <c r="M272" s="2">
        <v>4833.4399999999996</v>
      </c>
      <c r="N272" s="2">
        <v>3204.48</v>
      </c>
      <c r="O272" s="2">
        <v>3204.48</v>
      </c>
      <c r="P272" s="2">
        <v>9062.91</v>
      </c>
      <c r="Q272" s="48">
        <v>9062.91</v>
      </c>
      <c r="R272" s="2"/>
      <c r="S272" s="48"/>
    </row>
    <row r="273" spans="1:19" x14ac:dyDescent="0.35">
      <c r="A273" s="12">
        <v>255</v>
      </c>
      <c r="B273" s="1" t="s">
        <v>145</v>
      </c>
      <c r="C273" s="4">
        <v>53262.39</v>
      </c>
      <c r="D273" s="4">
        <v>34395.08</v>
      </c>
      <c r="E273" s="33"/>
      <c r="F273" s="4">
        <v>27800</v>
      </c>
      <c r="G273" s="4">
        <v>0</v>
      </c>
      <c r="H273" s="4"/>
      <c r="I273" s="27">
        <v>26250</v>
      </c>
      <c r="J273" s="4">
        <v>8356</v>
      </c>
      <c r="L273" s="27">
        <v>22684</v>
      </c>
      <c r="M273" s="4">
        <v>13670.32</v>
      </c>
      <c r="N273" s="4">
        <v>2056.9899999999998</v>
      </c>
      <c r="O273" s="4">
        <v>2056.9899999999998</v>
      </c>
      <c r="P273" s="4"/>
      <c r="Q273" s="41"/>
      <c r="R273" s="4"/>
      <c r="S273" s="41"/>
    </row>
    <row r="274" spans="1:19" x14ac:dyDescent="0.35">
      <c r="A274" s="12">
        <v>256</v>
      </c>
      <c r="B274" s="1" t="s">
        <v>146</v>
      </c>
      <c r="C274" s="4">
        <v>18270</v>
      </c>
      <c r="D274" s="4">
        <v>18270</v>
      </c>
      <c r="E274" s="33"/>
      <c r="F274" s="4"/>
      <c r="G274" s="4"/>
      <c r="H274" s="4"/>
      <c r="I274" s="27"/>
      <c r="J274" s="4"/>
      <c r="L274" s="27">
        <v>14000</v>
      </c>
      <c r="M274" s="4">
        <v>11269.27</v>
      </c>
      <c r="N274" s="4"/>
      <c r="O274" s="4"/>
      <c r="P274" s="4">
        <v>6673.4</v>
      </c>
      <c r="Q274" s="41">
        <v>3355.35</v>
      </c>
      <c r="R274" s="4">
        <v>5813.6</v>
      </c>
      <c r="S274" s="41">
        <v>5813.6</v>
      </c>
    </row>
    <row r="275" spans="1:19" x14ac:dyDescent="0.35">
      <c r="A275" s="12">
        <v>257</v>
      </c>
      <c r="B275" s="1" t="s">
        <v>155</v>
      </c>
      <c r="C275" s="4">
        <v>712</v>
      </c>
      <c r="D275" s="4">
        <v>712</v>
      </c>
      <c r="E275" s="33"/>
      <c r="F275" s="4"/>
      <c r="G275" s="4"/>
      <c r="H275" s="4"/>
      <c r="I275" s="27"/>
      <c r="J275" s="4"/>
      <c r="L275" s="27"/>
      <c r="M275" s="4"/>
      <c r="N275" s="4"/>
      <c r="O275" s="4"/>
      <c r="P275" s="4"/>
      <c r="Q275" s="41"/>
      <c r="R275" s="4"/>
      <c r="S275" s="41"/>
    </row>
    <row r="276" spans="1:19" x14ac:dyDescent="0.35">
      <c r="A276" s="12">
        <v>258</v>
      </c>
      <c r="B276" s="1" t="s">
        <v>147</v>
      </c>
      <c r="C276" s="4">
        <v>14949</v>
      </c>
      <c r="D276" s="4">
        <v>9000</v>
      </c>
      <c r="E276" s="33"/>
      <c r="F276" s="4"/>
      <c r="G276" s="4"/>
      <c r="H276" s="4"/>
      <c r="I276" s="27"/>
      <c r="J276" s="4"/>
      <c r="L276" s="27"/>
      <c r="M276" s="4"/>
      <c r="N276" s="4"/>
      <c r="O276" s="4"/>
      <c r="P276" s="4">
        <v>6310.39</v>
      </c>
      <c r="Q276" s="41">
        <v>5362.34</v>
      </c>
      <c r="R276" s="4"/>
      <c r="S276" s="41"/>
    </row>
    <row r="277" spans="1:19" x14ac:dyDescent="0.35">
      <c r="A277" s="12">
        <v>259</v>
      </c>
      <c r="B277" s="1" t="s">
        <v>148</v>
      </c>
      <c r="C277" s="4">
        <v>2500</v>
      </c>
      <c r="D277" s="4">
        <v>2500</v>
      </c>
      <c r="E277" s="33"/>
      <c r="F277" s="4">
        <v>1200</v>
      </c>
      <c r="G277" s="4">
        <v>0</v>
      </c>
      <c r="H277" s="4"/>
      <c r="I277" s="27"/>
      <c r="J277" s="4"/>
      <c r="L277" s="27"/>
      <c r="M277" s="4"/>
      <c r="N277" s="4"/>
      <c r="O277" s="4"/>
      <c r="P277" s="4"/>
      <c r="Q277" s="41"/>
      <c r="R277" s="4">
        <v>3270</v>
      </c>
      <c r="S277" s="41">
        <v>2685</v>
      </c>
    </row>
    <row r="278" spans="1:19" x14ac:dyDescent="0.35">
      <c r="A278" s="12">
        <v>260</v>
      </c>
      <c r="B278" s="1" t="s">
        <v>150</v>
      </c>
      <c r="C278" s="4">
        <v>5738.44</v>
      </c>
      <c r="D278" s="4">
        <v>5028</v>
      </c>
      <c r="E278" s="33"/>
      <c r="F278" s="4"/>
      <c r="G278" s="4"/>
      <c r="H278" s="4"/>
      <c r="I278" s="27">
        <v>7000</v>
      </c>
      <c r="J278" s="4">
        <v>7000</v>
      </c>
      <c r="L278" s="27"/>
      <c r="M278" s="4"/>
      <c r="N278" s="4">
        <v>25183.48</v>
      </c>
      <c r="O278" s="4">
        <v>25183.48</v>
      </c>
      <c r="P278" s="4"/>
      <c r="Q278" s="41"/>
      <c r="R278" s="4"/>
      <c r="S278" s="41"/>
    </row>
    <row r="279" spans="1:19" x14ac:dyDescent="0.35">
      <c r="A279" s="12">
        <v>261</v>
      </c>
      <c r="B279" s="1" t="s">
        <v>149</v>
      </c>
      <c r="C279" s="4">
        <v>3483.87</v>
      </c>
      <c r="D279" s="4">
        <v>3483.87</v>
      </c>
      <c r="E279" s="33"/>
      <c r="F279" s="4"/>
      <c r="G279" s="4"/>
      <c r="H279" s="4"/>
      <c r="I279" s="27">
        <v>2982.92</v>
      </c>
      <c r="J279" s="4">
        <v>2982.92</v>
      </c>
      <c r="L279" s="27"/>
      <c r="M279" s="4"/>
      <c r="N279" s="4"/>
      <c r="O279" s="4"/>
      <c r="P279" s="4"/>
      <c r="Q279" s="41"/>
      <c r="R279" s="4"/>
      <c r="S279" s="41"/>
    </row>
    <row r="280" spans="1:19" x14ac:dyDescent="0.35">
      <c r="A280" s="12">
        <v>262</v>
      </c>
      <c r="B280" s="1" t="s">
        <v>151</v>
      </c>
      <c r="C280" s="4">
        <v>23562.44</v>
      </c>
      <c r="D280" s="4">
        <v>20287.64</v>
      </c>
      <c r="E280" s="33"/>
      <c r="F280" s="4"/>
      <c r="G280" s="4"/>
      <c r="H280" s="4"/>
      <c r="I280" s="27"/>
      <c r="J280" s="4"/>
      <c r="L280" s="27"/>
      <c r="M280" s="4"/>
      <c r="N280" s="4"/>
      <c r="O280" s="4"/>
      <c r="P280" s="4"/>
      <c r="Q280" s="41"/>
      <c r="R280" s="4"/>
      <c r="S280" s="41"/>
    </row>
    <row r="281" spans="1:19" x14ac:dyDescent="0.35">
      <c r="A281" s="12">
        <v>263</v>
      </c>
      <c r="B281" s="1" t="s">
        <v>152</v>
      </c>
      <c r="C281" s="4">
        <v>14285.25</v>
      </c>
      <c r="D281" s="4">
        <v>9200</v>
      </c>
      <c r="E281" s="33"/>
      <c r="F281" s="4">
        <v>7400</v>
      </c>
      <c r="G281" s="4">
        <v>0</v>
      </c>
      <c r="H281" s="4"/>
      <c r="I281" s="27">
        <v>4000</v>
      </c>
      <c r="J281" s="4">
        <v>1600</v>
      </c>
      <c r="L281" s="27"/>
      <c r="M281" s="4"/>
      <c r="N281" s="4">
        <v>16600.13</v>
      </c>
      <c r="O281" s="4">
        <v>16600.13</v>
      </c>
      <c r="P281" s="4">
        <v>4139.76</v>
      </c>
      <c r="Q281" s="41">
        <v>4139.76</v>
      </c>
      <c r="R281" s="4">
        <v>4705.8599999999997</v>
      </c>
      <c r="S281" s="41">
        <v>4705.8599999999997</v>
      </c>
    </row>
    <row r="282" spans="1:19" x14ac:dyDescent="0.35">
      <c r="A282" s="12">
        <v>264</v>
      </c>
      <c r="B282" s="1" t="s">
        <v>153</v>
      </c>
      <c r="C282" s="4">
        <v>9030</v>
      </c>
      <c r="D282" s="4">
        <v>4765</v>
      </c>
      <c r="E282" s="33"/>
      <c r="F282" s="4"/>
      <c r="G282" s="4"/>
      <c r="H282" s="4"/>
      <c r="I282" s="27">
        <v>16775</v>
      </c>
      <c r="J282" s="4">
        <v>11874</v>
      </c>
      <c r="L282" s="27"/>
      <c r="M282" s="4"/>
      <c r="N282" s="4"/>
      <c r="O282" s="4"/>
      <c r="P282" s="4">
        <v>12935</v>
      </c>
      <c r="Q282" s="41">
        <v>7800</v>
      </c>
      <c r="R282" s="4"/>
      <c r="S282" s="41"/>
    </row>
    <row r="283" spans="1:19" x14ac:dyDescent="0.35">
      <c r="A283" s="12">
        <v>265</v>
      </c>
      <c r="B283" s="1" t="s">
        <v>269</v>
      </c>
      <c r="C283" s="4"/>
      <c r="D283" s="4"/>
      <c r="E283" s="33"/>
      <c r="F283" s="4"/>
      <c r="G283" s="4"/>
      <c r="H283" s="4"/>
      <c r="I283" s="27"/>
      <c r="J283" s="4"/>
      <c r="L283" s="27">
        <v>39124.32</v>
      </c>
      <c r="M283" s="4">
        <v>10411.68</v>
      </c>
      <c r="N283" s="4">
        <v>7178.16</v>
      </c>
      <c r="O283" s="4">
        <v>7178.16</v>
      </c>
      <c r="P283" s="4"/>
      <c r="Q283" s="41"/>
      <c r="R283" s="4">
        <v>7118.64</v>
      </c>
      <c r="S283" s="41">
        <v>7118.64</v>
      </c>
    </row>
    <row r="284" spans="1:19" x14ac:dyDescent="0.35">
      <c r="A284" s="12">
        <v>266</v>
      </c>
      <c r="B284" s="1" t="s">
        <v>154</v>
      </c>
      <c r="C284" s="4">
        <v>79699.59</v>
      </c>
      <c r="D284" s="4">
        <v>68228.59</v>
      </c>
      <c r="E284" s="33"/>
      <c r="F284" s="4">
        <v>89089.27</v>
      </c>
      <c r="G284" s="4">
        <v>0</v>
      </c>
      <c r="H284" s="4"/>
      <c r="I284" s="27">
        <v>157850</v>
      </c>
      <c r="J284" s="4">
        <v>62095.55</v>
      </c>
      <c r="L284" s="27">
        <v>139107.12</v>
      </c>
      <c r="M284" s="4">
        <v>67584.95</v>
      </c>
      <c r="N284" s="4">
        <v>202920</v>
      </c>
      <c r="O284" s="4">
        <v>60189.64</v>
      </c>
      <c r="P284" s="4">
        <v>195800.49</v>
      </c>
      <c r="Q284" s="41">
        <v>85146.5</v>
      </c>
      <c r="R284" s="4">
        <v>266355.19</v>
      </c>
      <c r="S284" s="41">
        <v>149453.25</v>
      </c>
    </row>
    <row r="285" spans="1:19" x14ac:dyDescent="0.35">
      <c r="A285" s="12">
        <v>267</v>
      </c>
      <c r="B285" s="1" t="s">
        <v>211</v>
      </c>
      <c r="C285" s="11"/>
      <c r="D285" s="11"/>
      <c r="E285" s="32"/>
      <c r="F285" s="2">
        <v>34549</v>
      </c>
      <c r="G285" s="2">
        <v>34549</v>
      </c>
      <c r="H285" s="2"/>
      <c r="I285" s="27">
        <v>27965.52</v>
      </c>
      <c r="J285" s="2">
        <v>27965.52</v>
      </c>
      <c r="L285" s="27">
        <v>30507.84</v>
      </c>
      <c r="M285" s="2">
        <v>30507.84</v>
      </c>
      <c r="N285" s="2"/>
      <c r="O285" s="2"/>
      <c r="P285" s="2">
        <v>34076.519999999997</v>
      </c>
      <c r="Q285" s="48">
        <v>34076.519999999997</v>
      </c>
      <c r="R285" s="2">
        <v>34706.519999999997</v>
      </c>
      <c r="S285" s="48">
        <v>34706.519999999997</v>
      </c>
    </row>
    <row r="286" spans="1:19" x14ac:dyDescent="0.35">
      <c r="B286" s="10"/>
      <c r="C286" s="11"/>
      <c r="D286" s="11"/>
      <c r="E286" s="32"/>
      <c r="F286" s="11"/>
      <c r="G286" s="11"/>
      <c r="H286" s="11"/>
      <c r="I286" s="30"/>
      <c r="J286" s="11"/>
      <c r="L286" s="30"/>
      <c r="M286" s="11"/>
      <c r="N286" s="11"/>
      <c r="O286" s="11"/>
      <c r="P286" s="10"/>
      <c r="Q286" s="58"/>
      <c r="R286" s="10"/>
      <c r="S286" s="58"/>
    </row>
    <row r="287" spans="1:19" x14ac:dyDescent="0.35">
      <c r="B287" s="10"/>
      <c r="C287" s="11"/>
      <c r="D287" s="11"/>
      <c r="E287" s="32"/>
      <c r="F287" s="11"/>
      <c r="G287" s="11"/>
      <c r="H287" s="11"/>
      <c r="I287" s="11"/>
      <c r="J287" s="11"/>
      <c r="L287" s="11"/>
      <c r="M287" s="11"/>
      <c r="N287" s="11"/>
      <c r="O287" s="11"/>
      <c r="P287" s="10"/>
      <c r="Q287" s="58"/>
      <c r="R287" s="10"/>
      <c r="S287" s="58"/>
    </row>
    <row r="288" spans="1:19" ht="17.899999999999999" customHeight="1" x14ac:dyDescent="0.35">
      <c r="B288" s="22" t="s">
        <v>3</v>
      </c>
      <c r="C288" s="44">
        <f>SUM(C19:C287)</f>
        <v>12730630.299999997</v>
      </c>
      <c r="D288" s="44">
        <f>SUM(D19:D287)</f>
        <v>5626173.4500000011</v>
      </c>
      <c r="E288" s="45"/>
      <c r="F288" s="44">
        <f>SUM(F19:F287)</f>
        <v>8846823.5299999975</v>
      </c>
      <c r="G288" s="44">
        <f>SUM(G19:G287)</f>
        <v>2328457.3200000003</v>
      </c>
      <c r="H288" s="44"/>
      <c r="I288" s="44">
        <f>SUM(I19:I287)</f>
        <v>8002776.0900000008</v>
      </c>
      <c r="J288" s="44">
        <f>SUM(J19:J287)</f>
        <v>2387860.7300000004</v>
      </c>
      <c r="K288" s="46"/>
      <c r="L288" s="44">
        <f t="shared" ref="L288:O288" si="0">SUM(L19:L287)</f>
        <v>6868996.3700000001</v>
      </c>
      <c r="M288" s="44">
        <f t="shared" si="0"/>
        <v>2466763.3400000003</v>
      </c>
      <c r="N288" s="44">
        <f t="shared" si="0"/>
        <v>7801009.9699999988</v>
      </c>
      <c r="O288" s="44">
        <f t="shared" si="0"/>
        <v>2323999.4699999997</v>
      </c>
      <c r="P288" s="44">
        <f>SUM(P19:P285)</f>
        <v>7691974.2199999997</v>
      </c>
      <c r="Q288" s="50">
        <f>SUM(Q19:Q285)</f>
        <v>3344919.05</v>
      </c>
      <c r="R288" s="44">
        <f>SUM(R19:R285)</f>
        <v>7843063.5300000012</v>
      </c>
      <c r="S288" s="50">
        <f>SUM(S19:S285)</f>
        <v>6513836.5200000005</v>
      </c>
    </row>
    <row r="289" spans="2:19" s="23" customFormat="1" ht="17.899999999999999" customHeight="1" x14ac:dyDescent="0.35">
      <c r="B289" s="53"/>
      <c r="C289" s="54"/>
      <c r="D289" s="54"/>
      <c r="E289" s="54"/>
      <c r="F289" s="54"/>
      <c r="G289" s="54"/>
      <c r="H289" s="54"/>
      <c r="I289" s="54"/>
      <c r="J289" s="54"/>
      <c r="L289" s="54"/>
      <c r="M289" s="54"/>
      <c r="N289" s="54"/>
      <c r="O289" s="54"/>
      <c r="P289" s="54"/>
      <c r="Q289" s="55"/>
      <c r="R289" s="54"/>
      <c r="S289" s="55"/>
    </row>
    <row r="290" spans="2:19" x14ac:dyDescent="0.35">
      <c r="D290" s="40"/>
      <c r="G290" s="16"/>
      <c r="J290" s="16"/>
      <c r="M290" s="16"/>
      <c r="N290" s="16"/>
      <c r="O290" s="16"/>
      <c r="P290" s="16"/>
      <c r="Q290" s="51"/>
      <c r="R290" s="16"/>
      <c r="S290" s="51"/>
    </row>
    <row r="291" spans="2:19" x14ac:dyDescent="0.35">
      <c r="B291" s="52" t="s">
        <v>290</v>
      </c>
    </row>
    <row r="292" spans="2:19" ht="28.3" x14ac:dyDescent="0.35">
      <c r="B292" s="1" t="s">
        <v>196</v>
      </c>
      <c r="C292" s="11"/>
      <c r="D292" s="11"/>
      <c r="E292" s="32"/>
      <c r="F292" s="2">
        <v>38383</v>
      </c>
      <c r="G292" s="41" t="s">
        <v>285</v>
      </c>
      <c r="H292" s="2"/>
      <c r="I292" s="27"/>
      <c r="J292" s="2"/>
      <c r="L292" s="27"/>
      <c r="M292" s="2"/>
      <c r="N292" s="2"/>
      <c r="O292" s="2"/>
      <c r="P292" s="2"/>
      <c r="Q292" s="48"/>
      <c r="R292" s="2"/>
      <c r="S292" s="48"/>
    </row>
    <row r="293" spans="2:19" ht="27" customHeight="1" x14ac:dyDescent="0.35">
      <c r="B293" s="1" t="s">
        <v>119</v>
      </c>
      <c r="C293" s="4">
        <v>135105</v>
      </c>
      <c r="D293" s="41" t="s">
        <v>272</v>
      </c>
      <c r="E293" s="33"/>
      <c r="F293" s="4"/>
      <c r="G293" s="4"/>
      <c r="H293" s="4"/>
      <c r="I293" s="27"/>
      <c r="J293" s="4"/>
      <c r="L293" s="27"/>
      <c r="M293" s="4"/>
      <c r="N293" s="4"/>
      <c r="O293" s="4"/>
      <c r="P293" s="4"/>
      <c r="Q293" s="41"/>
      <c r="R293" s="4"/>
      <c r="S293" s="41"/>
    </row>
    <row r="295" spans="2:19" x14ac:dyDescent="0.35">
      <c r="B295" s="60" t="s">
        <v>303</v>
      </c>
      <c r="C295" s="60"/>
      <c r="D295" s="59"/>
      <c r="E295" s="59"/>
      <c r="F295" s="59"/>
      <c r="G295" s="64">
        <v>44887</v>
      </c>
      <c r="H295" s="64"/>
      <c r="I295" s="64"/>
      <c r="L295" s="37"/>
    </row>
    <row r="296" spans="2:19" x14ac:dyDescent="0.35">
      <c r="D296" s="39"/>
      <c r="G296" s="38"/>
      <c r="L296" s="38"/>
    </row>
    <row r="297" spans="2:19" x14ac:dyDescent="0.35">
      <c r="D297" s="40"/>
      <c r="F297" s="39"/>
      <c r="G297" s="16"/>
      <c r="I297" s="39"/>
      <c r="L297" s="42"/>
    </row>
    <row r="298" spans="2:19" x14ac:dyDescent="0.35">
      <c r="D298" s="39"/>
      <c r="F298" s="39"/>
      <c r="G298" s="37"/>
      <c r="L298" s="38"/>
    </row>
    <row r="299" spans="2:19" x14ac:dyDescent="0.35">
      <c r="F299" s="40"/>
      <c r="G299" s="16"/>
      <c r="L299" s="37"/>
    </row>
    <row r="300" spans="2:19" x14ac:dyDescent="0.35">
      <c r="F300" s="39"/>
      <c r="G300" s="37"/>
      <c r="L300" s="43"/>
    </row>
    <row r="301" spans="2:19" x14ac:dyDescent="0.35">
      <c r="F301" s="39"/>
      <c r="L301" s="43"/>
    </row>
    <row r="302" spans="2:19" x14ac:dyDescent="0.35">
      <c r="F302" s="40"/>
      <c r="L302" s="37"/>
    </row>
    <row r="303" spans="2:19" x14ac:dyDescent="0.35">
      <c r="F303" s="39"/>
      <c r="G303" s="37"/>
      <c r="L303" s="37"/>
    </row>
    <row r="304" spans="2:19" x14ac:dyDescent="0.35">
      <c r="F304" s="40"/>
      <c r="L304" s="13"/>
    </row>
    <row r="305" spans="3:12" x14ac:dyDescent="0.35">
      <c r="F305" s="39"/>
      <c r="L305" s="13"/>
    </row>
    <row r="306" spans="3:12" x14ac:dyDescent="0.35">
      <c r="F306" s="39"/>
    </row>
    <row r="307" spans="3:12" x14ac:dyDescent="0.35">
      <c r="C307" s="39"/>
      <c r="F307" s="39"/>
    </row>
  </sheetData>
  <mergeCells count="4">
    <mergeCell ref="B4:C4"/>
    <mergeCell ref="A1:Q1"/>
    <mergeCell ref="A2:Q2"/>
    <mergeCell ref="G295:I295"/>
  </mergeCells>
  <pageMargins left="0.25" right="0.25" top="0.75" bottom="0.25" header="0.3" footer="0.3"/>
  <pageSetup scale="45" fitToHeight="0" pageOrder="overThenDown" orientation="landscape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Body-Worn Camera</vt:lpstr>
      <vt:lpstr>'Body-Worn Camera'!Print_Titles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Harmon, Ed</dc:creator>
  <cp:lastModifiedBy>McCarty, Joyce</cp:lastModifiedBy>
  <cp:lastPrinted>2022-11-22T13:34:56Z</cp:lastPrinted>
  <dcterms:created xsi:type="dcterms:W3CDTF">2016-06-14T20:34:38Z</dcterms:created>
  <dcterms:modified xsi:type="dcterms:W3CDTF">2022-11-22T13:53:57Z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